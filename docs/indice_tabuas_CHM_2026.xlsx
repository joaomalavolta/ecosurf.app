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dd2a0cf2c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ntos_CHM_2026" sheetId="1" r:id="R92542c51b0744802"/>
    <x:sheet xmlns:r="http://schemas.openxmlformats.org/officeDocument/2006/relationships" name="Resumo" sheetId="2" r:id="R83cba9c55bdd408b"/>
    <x:sheet xmlns:r="http://schemas.openxmlformats.org/officeDocument/2006/relationships" name="Guia_Uso_Ecosurf" sheetId="3" r:id="R4747e25e1d184e8e"/>
    <x:sheet xmlns:r="http://schemas.openxmlformats.org/officeDocument/2006/relationships" name="Fontes" sheetId="4" r:id="Rb5391c33e92f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954"/>
      </x:patternFill>
    </x:fill>
    <x:fill>
      <x:patternFill patternType="solid">
        <x:fgColor rgb="FF063B5B"/>
      </x:patternFill>
    </x:fill>
    <x:fill>
      <x:patternFill patternType="solid">
        <x:fgColor rgb="FFE7F2F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6603af3a44a83" /><Relationship Type="http://schemas.openxmlformats.org/officeDocument/2006/relationships/theme" Target="/xl/theme/theme1.xml" Id="R273cb159ca934126" /><Relationship Type="http://schemas.openxmlformats.org/officeDocument/2006/relationships/sharedStrings" Target="/xl/sharedStrings.xml" Id="R3c2ae69cb42a4772" /><Relationship Type="http://schemas.openxmlformats.org/officeDocument/2006/relationships/worksheet" Target="/xl/worksheets/sheet1.xml" Id="R92542c51b0744802" /><Relationship Type="http://schemas.openxmlformats.org/officeDocument/2006/relationships/worksheet" Target="/xl/worksheets/sheet2.xml" Id="R83cba9c55bdd408b" /><Relationship Type="http://schemas.openxmlformats.org/officeDocument/2006/relationships/worksheet" Target="/xl/worksheets/sheet3.xml" Id="R4747e25e1d184e8e" /><Relationship Type="http://schemas.openxmlformats.org/officeDocument/2006/relationships/worksheet" Target="/xl/worksheets/sheet4.xml" Id="Rb5391c33e92f4c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f203d4529a4e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Pontos de maré 2026 por UF/Região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Quantidade de pontos</c:v>
          </c:tx>
          <c:cat>
            <c:strRef>
              <c:f>'Resumo'!$A$12:$A$29</c:f>
              <c:strCache>
                <c:ptCount val="0"/>
              </c:strCache>
            </c:strRef>
          </c:cat>
          <c:val>
            <c:numRef>
              <c:f>'Resumo'!$B$12:$B$29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f203d4529a4e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ntosCHM2026" displayName="PontosCHM2026" ref="A1:K57" headerRowCount="1">
  <x:tableColumns count="11">
    <x:tableColumn id="1" name="Nº CHM"/>
    <x:tableColumn id="2" name="UF/Região"/>
    <x:tableColumn id="3" name="Tipo"/>
    <x:tableColumn id="4" name="Localidade/Estação"/>
    <x:tableColumn id="5" name="Páginas na publicação"/>
    <x:tableColumn id="6" name="Latitude (decimal)"/>
    <x:tableColumn id="7" name="Longitude (decimal)"/>
    <x:tableColumn id="8" name="Link do PDF CHM 2026"/>
    <x:tableColumn id="9" name="Página de conferência CHM"/>
    <x:tableColumn id="10" name="Mapa"/>
    <x:tableColumn id="11" name="Uso Ecosurf / 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bbec7bdef64c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7e7c81e1a18431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6" hidden="0" customWidth="1"/>
    <x:col min="7" max="7" width="16" hidden="0" customWidth="1"/>
    <x:col min="8" max="8" width="64" hidden="0" customWidth="1"/>
    <x:col min="9" max="9" width="46" hidden="0" customWidth="1"/>
    <x:col min="10" max="10" width="36" hidden="0" customWidth="1"/>
    <x:col min="11" max="11" width="42" hidden="0" customWidth="1"/>
  </x:cols>
  <x:sheetData>
    <x:row r="1" ht="34" customHeight="1">
      <x:c r="A1" s="6" t="str">
        <x:v>Nº CHM</x:v>
      </x:c>
      <x:c r="B1" s="6" t="str">
        <x:v>UF/Região</x:v>
      </x:c>
      <x:c r="C1" s="6" t="str">
        <x:v>Tipo</x:v>
      </x:c>
      <x:c r="D1" s="6" t="str">
        <x:v>Localidade/Estação</x:v>
      </x:c>
      <x:c r="E1" s="6" t="str">
        <x:v>Páginas na publicação</x:v>
      </x:c>
      <x:c r="F1" s="16" t="str">
        <x:v>Latitude (decimal)</x:v>
      </x:c>
      <x:c r="G1" s="16" t="str">
        <x:v>Longitude (decimal)</x:v>
      </x:c>
      <x:c r="H1" s="6" t="str">
        <x:v>Link do PDF CHM 2026</x:v>
      </x:c>
      <x:c r="I1" s="6" t="str">
        <x:v>Página de conferência CHM</x:v>
      </x:c>
      <x:c r="J1" s="6" t="str">
        <x:v>Mapa</x:v>
      </x:c>
      <x:c r="K1" s="6" t="str">
        <x:v>Uso Ecosurf / Observações</x:v>
      </x:c>
    </x:row>
    <x:row r="2">
      <x:c r="A2" s="14" t="n">
        <x:v>1</x:v>
      </x:c>
      <x:c r="B2" s="14" t="str">
        <x:v>Pará</x:v>
      </x:c>
      <x:c r="C2" s="14" t="str">
        <x:v>Barra</x:v>
      </x:c>
      <x:c r="D2" s="14" t="str">
        <x:v>BARRA NORTE - ARCO LAMOSO</x:v>
      </x:c>
      <x:c r="E2" s="14" t="str">
        <x:v>13 - 15</x:v>
      </x:c>
      <x:c r="F2" s="14" t="n">
        <x:v>-1.49</x:v>
      </x:c>
      <x:c r="G2" s="14" t="n">
        <x:v>-49.22</x:v>
      </x:c>
      <x:c r="H2" s="14" t="str">
        <x:v>https://assets.marinha.mil.br/chm/sites/www.marinha.mil.br.chm/files/dados_de_mare/1%20-BARRA%20NORTE%20-%20ARCO%20LAMOSO%20-%202026%20-%2013%20-%2015.pdf</x:v>
      </x:c>
      <x:c r="I2" s="14" t="str">
        <x:v>https://www.marinha.mil.br/chm/tabuas-de-mare-6</x:v>
      </x:c>
      <x:c r="J2" s="14" t="str">
        <x:v>https://www.google.com/maps?q=-1.49,-49.22</x:v>
      </x:c>
      <x:c r="K2" s="14" t="str"/>
    </x:row>
    <x:row r="3">
      <x:c r="A3" s="14" t="n">
        <x:v>2</x:v>
      </x:c>
      <x:c r="B3" s="14" t="str">
        <x:v>Amapá</x:v>
      </x:c>
      <x:c r="C3" s="14" t="str">
        <x:v>Outros</x:v>
      </x:c>
      <x:c r="D3" s="14" t="str">
        <x:v>IGARAPÉ GRANDE DO CURUÁ</x:v>
      </x:c>
      <x:c r="E3" s="14" t="str">
        <x:v>16 - 18</x:v>
      </x:c>
      <x:c r="F3" s="14" t="n">
        <x:v>-0.76</x:v>
      </x:c>
      <x:c r="G3" s="14" t="n">
        <x:v>-50.12</x:v>
      </x:c>
      <x:c r="H3" s="14" t="str">
        <x:v>https://assets.marinha.mil.br/chm/sites/www.marinha.mil.br.chm/files/dados_de_mare/2%20-IGARAP%C3%89%20GRANDE%20DO%20CURU%C3%81%20-%202026%20-%2016%20-%2018.pdf</x:v>
      </x:c>
      <x:c r="I3" s="14" t="str">
        <x:v>https://www.marinha.mil.br/chm/tabuas-de-mare-6</x:v>
      </x:c>
      <x:c r="J3" s="14" t="str">
        <x:v>https://www.google.com/maps?q=-0.76,-50.12</x:v>
      </x:c>
      <x:c r="K3" s="14" t="str"/>
    </x:row>
    <x:row r="4">
      <x:c r="A4" s="14" t="n">
        <x:v>3</x:v>
      </x:c>
      <x:c r="B4" s="14" t="str">
        <x:v>Amapá</x:v>
      </x:c>
      <x:c r="C4" s="14" t="str">
        <x:v>Porto</x:v>
      </x:c>
      <x:c r="D4" s="14" t="str">
        <x:v>PORTO DE SANTANA</x:v>
      </x:c>
      <x:c r="E4" s="14" t="str">
        <x:v>19 - 21</x:v>
      </x:c>
      <x:c r="F4" s="14" t="n">
        <x:v>-0.06</x:v>
      </x:c>
      <x:c r="G4" s="14" t="n">
        <x:v>-51.17</x:v>
      </x:c>
      <x:c r="H4" s="14" t="str">
        <x:v>https://assets.marinha.mil.br/chm/sites/www.marinha.mil.br.chm/files/dados_de_mare/3%20-%20PORTO%20DE%20SANTANA%20-%2019%20-%2021.pdf</x:v>
      </x:c>
      <x:c r="I4" s="14" t="str">
        <x:v>https://www.marinha.mil.br/chm/tabuas-de-mare-6</x:v>
      </x:c>
      <x:c r="J4" s="14" t="str">
        <x:v>https://www.google.com/maps?q=-0.06,-51.17</x:v>
      </x:c>
      <x:c r="K4" s="14" t="str"/>
    </x:row>
    <x:row r="5">
      <x:c r="A5" s="14" t="n">
        <x:v>4</x:v>
      </x:c>
      <x:c r="B5" s="14" t="str">
        <x:v>Pará</x:v>
      </x:c>
      <x:c r="C5" s="14" t="str">
        <x:v>Ilha/Arquipélago</x:v>
      </x:c>
      <x:c r="D5" s="14" t="str">
        <x:v>ILHA DOS GUARÁS</x:v>
      </x:c>
      <x:c r="E5" s="14" t="str">
        <x:v>22 - 24</x:v>
      </x:c>
      <x:c r="F5" s="14" t="n">
        <x:v>-0.6</x:v>
      </x:c>
      <x:c r="G5" s="14" t="n">
        <x:v>-47.92</x:v>
      </x:c>
      <x:c r="H5" s="14" t="str">
        <x:v>https://assets.marinha.mil.br/chm/sites/www.marinha.mil.br.chm/files/dados_de_mare/4%20-%20ILHA%20DOS%20GUAR%C3%81S%20%28ESTADO%20DO%20PAR%C3%81%29%20-%202026%2022%20-%2024.pdf</x:v>
      </x:c>
      <x:c r="I5" s="14" t="str">
        <x:v>https://www.marinha.mil.br/chm/tabuas-de-mare-6</x:v>
      </x:c>
      <x:c r="J5" s="14" t="str">
        <x:v>https://www.google.com/maps?q=-0.6,-47.92</x:v>
      </x:c>
      <x:c r="K5" s="14" t="str"/>
    </x:row>
    <x:row r="6">
      <x:c r="A6" s="14" t="n">
        <x:v>5</x:v>
      </x:c>
      <x:c r="B6" s="14" t="str">
        <x:v>Pará</x:v>
      </x:c>
      <x:c r="C6" s="14" t="str">
        <x:v>Fundeadouro</x:v>
      </x:c>
      <x:c r="D6" s="14" t="str">
        <x:v>FUNDEADOURO DE SALINÓPOLIS</x:v>
      </x:c>
      <x:c r="E6" s="14" t="str">
        <x:v>25 - 27</x:v>
      </x:c>
      <x:c r="F6" s="14" t="n">
        <x:v>-0.62</x:v>
      </x:c>
      <x:c r="G6" s="14" t="n">
        <x:v>-47.35</x:v>
      </x:c>
      <x:c r="H6" s="14" t="str">
        <x:v>https://assets.marinha.mil.br/chm/sites/www.marinha.mil.br.chm/files/dados_de_mare/5%20-FUNDEADOURO%20DE%20SALIN%C3%93POLIS%2025%20-%2027.pdf</x:v>
      </x:c>
      <x:c r="I6" s="14" t="str">
        <x:v>https://www.marinha.mil.br/chm/tabuas-de-mare-6</x:v>
      </x:c>
      <x:c r="J6" s="14" t="str">
        <x:v>https://www.google.com/maps?q=-0.62,-47.35</x:v>
      </x:c>
      <x:c r="K6" s="14" t="str"/>
    </x:row>
    <x:row r="7">
      <x:c r="A7" s="14" t="n">
        <x:v>6</x:v>
      </x:c>
      <x:c r="B7" s="14" t="str">
        <x:v>Pará</x:v>
      </x:c>
      <x:c r="C7" s="14" t="str">
        <x:v>Ilha/Arquipélago</x:v>
      </x:c>
      <x:c r="D7" s="14" t="str">
        <x:v>ILHA DO MOSQUEIRO</x:v>
      </x:c>
      <x:c r="E7" s="14" t="str">
        <x:v>28 - 30</x:v>
      </x:c>
      <x:c r="F7" s="14" t="n">
        <x:v>-1.17</x:v>
      </x:c>
      <x:c r="G7" s="14" t="n">
        <x:v>-48.47</x:v>
      </x:c>
      <x:c r="H7" s="14" t="str">
        <x:v>https://assets.marinha.mil.br/chm/sites/www.marinha.mil.br.chm/files/dados_de_mare/6%20-%20ILHA%20DO%20MOSQUEIRO%2028%20-%2030.pdf</x:v>
      </x:c>
      <x:c r="I7" s="14" t="str">
        <x:v>https://www.marinha.mil.br/chm/tabuas-de-mare-6</x:v>
      </x:c>
      <x:c r="J7" s="14" t="str">
        <x:v>https://www.google.com/maps?q=-1.17,-48.47</x:v>
      </x:c>
      <x:c r="K7" s="14" t="str"/>
    </x:row>
    <x:row r="8">
      <x:c r="A8" s="14" t="n">
        <x:v>7</x:v>
      </x:c>
      <x:c r="B8" s="14" t="str">
        <x:v>Pará</x:v>
      </x:c>
      <x:c r="C8" s="14" t="str">
        <x:v>Porto</x:v>
      </x:c>
      <x:c r="D8" s="14" t="str">
        <x:v>PORTO DE BELÉM</x:v>
      </x:c>
      <x:c r="E8" s="14" t="str">
        <x:v>31 - 33</x:v>
      </x:c>
      <x:c r="F8" s="14" t="n">
        <x:v>-1.4</x:v>
      </x:c>
      <x:c r="G8" s="14" t="n">
        <x:v>-48.49</x:v>
      </x:c>
      <x:c r="H8" s="14" t="str">
        <x:v>https://assets.marinha.mil.br/chm/sites/www.marinha.mil.br.chm/files/dados_de_mare/7%20-%20PORTO%20DE%20BEL%C3%89M%20%28ESTADO%20DO%20PAR%C3%81%29%20-%202026%20-%2031%20-%2033.pdf</x:v>
      </x:c>
      <x:c r="I8" s="14" t="str">
        <x:v>https://www.marinha.mil.br/chm/tabuas-de-mare-6</x:v>
      </x:c>
      <x:c r="J8" s="14" t="str">
        <x:v>https://www.google.com/maps?q=-1.4,-48.49</x:v>
      </x:c>
      <x:c r="K8" s="14" t="str"/>
    </x:row>
    <x:row r="9">
      <x:c r="A9" s="14" t="n">
        <x:v>8</x:v>
      </x:c>
      <x:c r="B9" s="14" t="str">
        <x:v>Pará</x:v>
      </x:c>
      <x:c r="C9" s="14" t="str">
        <x:v>Porto</x:v>
      </x:c>
      <x:c r="D9" s="14" t="str">
        <x:v>PORTO DE VILA DO CONDE</x:v>
      </x:c>
      <x:c r="E9" s="14" t="str">
        <x:v>34 - 36</x:v>
      </x:c>
      <x:c r="F9" s="14" t="n">
        <x:v>-1.54</x:v>
      </x:c>
      <x:c r="G9" s="14" t="n">
        <x:v>-48.75</x:v>
      </x:c>
      <x:c r="H9" s="14" t="str">
        <x:v>https://assets.marinha.mil.br/chm/sites/www.marinha.mil.br.chm/files/dados_de_mare/8%20-%20PORTO%20DE%20VILA%20DO%20CONDE%2034%20-%2036.pdf</x:v>
      </x:c>
      <x:c r="I9" s="14" t="str">
        <x:v>https://www.marinha.mil.br/chm/tabuas-de-mare-6</x:v>
      </x:c>
      <x:c r="J9" s="14" t="str">
        <x:v>https://www.google.com/maps?q=-1.54,-48.75</x:v>
      </x:c>
      <x:c r="K9" s="14" t="str"/>
    </x:row>
    <x:row r="10">
      <x:c r="A10" s="14" t="n">
        <x:v>9</x:v>
      </x:c>
      <x:c r="B10" s="14" t="str">
        <x:v>Pará</x:v>
      </x:c>
      <x:c r="C10" s="14" t="str">
        <x:v>Atracadouro</x:v>
      </x:c>
      <x:c r="D10" s="14" t="str">
        <x:v>ATRACADOURO DE BREVES</x:v>
      </x:c>
      <x:c r="E10" s="14" t="str">
        <x:v>37 - 39</x:v>
      </x:c>
      <x:c r="F10" s="14" t="n">
        <x:v>-1.69</x:v>
      </x:c>
      <x:c r="G10" s="14" t="n">
        <x:v>-50.48</x:v>
      </x:c>
      <x:c r="H10" s="14" t="str">
        <x:v>https://assets.marinha.mil.br/chm/sites/www.marinha.mil.br.chm/files/dados_de_mare/9%20-%20ATRACADOURO%20DE%20BREVES%2037%20-%2039.pdf</x:v>
      </x:c>
      <x:c r="I10" s="14" t="str">
        <x:v>https://www.marinha.mil.br/chm/tabuas-de-mare-6</x:v>
      </x:c>
      <x:c r="J10" s="14" t="str">
        <x:v>https://www.google.com/maps?q=-1.69,-50.48</x:v>
      </x:c>
      <x:c r="K10" s="14" t="str"/>
    </x:row>
    <x:row r="11">
      <x:c r="A11" s="14" t="n">
        <x:v>10</x:v>
      </x:c>
      <x:c r="B11" s="14" t="str">
        <x:v>Maranhão</x:v>
      </x:c>
      <x:c r="C11" s="14" t="str">
        <x:v>Outros</x:v>
      </x:c>
      <x:c r="D11" s="14" t="str">
        <x:v>SÃO LUÍS</x:v>
      </x:c>
      <x:c r="E11" s="14" t="str">
        <x:v>40 - 42</x:v>
      </x:c>
      <x:c r="F11" s="14" t="n">
        <x:v>-2.53</x:v>
      </x:c>
      <x:c r="G11" s="14" t="n">
        <x:v>-44.31</x:v>
      </x:c>
      <x:c r="H11" s="14" t="str">
        <x:v>https://assets.marinha.mil.br/chm/sites/www.marinha.mil.br.chm/files/dados_de_mare/10%20-%20S%C3%83O%20LU%C3%8DS%2040%20-%2042.pdf</x:v>
      </x:c>
      <x:c r="I11" s="14" t="str">
        <x:v>https://www.marinha.mil.br/chm/tabuas-de-mare-6</x:v>
      </x:c>
      <x:c r="J11" s="14" t="str">
        <x:v>https://www.google.com/maps?q=-2.53,-44.31</x:v>
      </x:c>
      <x:c r="K11" s="14" t="str"/>
    </x:row>
    <x:row r="12">
      <x:c r="A12" s="14" t="n">
        <x:v>11</x:v>
      </x:c>
      <x:c r="B12" s="14" t="str">
        <x:v>Maranhão</x:v>
      </x:c>
      <x:c r="C12" s="14" t="str">
        <x:v>Terminal</x:v>
      </x:c>
      <x:c r="D12" s="14" t="str">
        <x:v>TERMINAL DA PONTA DA MADEIRA</x:v>
      </x:c>
      <x:c r="E12" s="14" t="str">
        <x:v>43 - 45</x:v>
      </x:c>
      <x:c r="F12" s="14" t="n">
        <x:v>-2.57</x:v>
      </x:c>
      <x:c r="G12" s="14" t="n">
        <x:v>-44.38</x:v>
      </x:c>
      <x:c r="H12" s="14" t="str">
        <x:v>https://assets.marinha.mil.br/chm/sites/www.marinha.mil.br.chm/files/dados_de_mare/11%20-%20TERMINAL%20DA%20PONTA%20DA%20MADEIRA%2043%20-%2045.pdf</x:v>
      </x:c>
      <x:c r="I12" s="14" t="str">
        <x:v>https://www.marinha.mil.br/chm/tabuas-de-mare-6</x:v>
      </x:c>
      <x:c r="J12" s="14" t="str">
        <x:v>https://www.google.com/maps?q=-2.57,-44.38</x:v>
      </x:c>
      <x:c r="K12" s="14" t="str"/>
    </x:row>
    <x:row r="13">
      <x:c r="A13" s="14" t="n">
        <x:v>12</x:v>
      </x:c>
      <x:c r="B13" s="14" t="str">
        <x:v>Maranhão</x:v>
      </x:c>
      <x:c r="C13" s="14" t="str">
        <x:v>Porto</x:v>
      </x:c>
      <x:c r="D13" s="14" t="str">
        <x:v>PORTO DE ITAQUI</x:v>
      </x:c>
      <x:c r="E13" s="14" t="str">
        <x:v>46 - 48</x:v>
      </x:c>
      <x:c r="F13" s="14" t="n">
        <x:v>-2.58</x:v>
      </x:c>
      <x:c r="G13" s="14" t="n">
        <x:v>-44.37</x:v>
      </x:c>
      <x:c r="H13" s="14" t="str">
        <x:v>https://assets.marinha.mil.br/chm/sites/www.marinha.mil.br.chm/files/dados_de_mare/12%20-%20PORTO%20DE%20ITAQUI%20-%2046%20-%2048.pdf</x:v>
      </x:c>
      <x:c r="I13" s="14" t="str">
        <x:v>https://www.marinha.mil.br/chm/tabuas-de-mare-6</x:v>
      </x:c>
      <x:c r="J13" s="14" t="str">
        <x:v>https://www.google.com/maps?q=-2.58,-44.37</x:v>
      </x:c>
      <x:c r="K13" s="14" t="str"/>
    </x:row>
    <x:row r="14">
      <x:c r="A14" s="14" t="n">
        <x:v>13</x:v>
      </x:c>
      <x:c r="B14" s="14" t="str">
        <x:v>Maranhão</x:v>
      </x:c>
      <x:c r="C14" s="14" t="str">
        <x:v>Terminal</x:v>
      </x:c>
      <x:c r="D14" s="14" t="str">
        <x:v>TERMINAL DA ALUMAR</x:v>
      </x:c>
      <x:c r="E14" s="14" t="str">
        <x:v>49 - 51</x:v>
      </x:c>
      <x:c r="F14" s="14" t="n">
        <x:v>-2.68</x:v>
      </x:c>
      <x:c r="G14" s="14" t="n">
        <x:v>-44.36</x:v>
      </x:c>
      <x:c r="H14" s="14" t="str">
        <x:v>https://assets.marinha.mil.br/chm/sites/www.marinha.mil.br.chm/files/dados_de_mare/13%20-%20TERMINAL%20DA%20ALUMAR%20-%2049%20-%2051.pdf</x:v>
      </x:c>
      <x:c r="I14" s="14" t="str">
        <x:v>https://www.marinha.mil.br/chm/tabuas-de-mare-6</x:v>
      </x:c>
      <x:c r="J14" s="14" t="str">
        <x:v>https://www.google.com/maps?q=-2.68,-44.36</x:v>
      </x:c>
      <x:c r="K14" s="14" t="str"/>
    </x:row>
    <x:row r="15">
      <x:c r="A15" s="14" t="n">
        <x:v>14</x:v>
      </x:c>
      <x:c r="B15" s="14" t="str">
        <x:v>Maranhão</x:v>
      </x:c>
      <x:c r="C15" s="14" t="str">
        <x:v>Porto</x:v>
      </x:c>
      <x:c r="D15" s="14" t="str">
        <x:v>PORTO DE TUTÓIA</x:v>
      </x:c>
      <x:c r="E15" s="14" t="str">
        <x:v>52 - 54</x:v>
      </x:c>
      <x:c r="F15" s="14" t="n">
        <x:v>-2.77</x:v>
      </x:c>
      <x:c r="G15" s="14" t="n">
        <x:v>-42.28</x:v>
      </x:c>
      <x:c r="H15" s="14" t="str">
        <x:v>https://assets.marinha.mil.br/chm/sites/www.marinha.mil.br.chm/files/dados_de_mare/14%20-%20PORTO%20DE%20TUT%C3%93IA%20-%2052%20-%2054.pdf</x:v>
      </x:c>
      <x:c r="I15" s="14" t="str">
        <x:v>https://www.marinha.mil.br/chm/tabuas-de-mare-6</x:v>
      </x:c>
      <x:c r="J15" s="14" t="str">
        <x:v>https://www.google.com/maps?q=-2.77,-42.28</x:v>
      </x:c>
      <x:c r="K15" s="14" t="str"/>
    </x:row>
    <x:row r="16">
      <x:c r="A16" s="14" t="n">
        <x:v>15</x:v>
      </x:c>
      <x:c r="B16" s="14" t="str">
        <x:v>Piauí</x:v>
      </x:c>
      <x:c r="C16" s="14" t="str">
        <x:v>Porto</x:v>
      </x:c>
      <x:c r="D16" s="14" t="str">
        <x:v>PORTO DE LUÍS CORREIA</x:v>
      </x:c>
      <x:c r="E16" s="14" t="str">
        <x:v>55 - 57</x:v>
      </x:c>
      <x:c r="F16" s="14" t="n">
        <x:v>-2.85</x:v>
      </x:c>
      <x:c r="G16" s="14" t="n">
        <x:v>-41.65</x:v>
      </x:c>
      <x:c r="H16" s="14" t="str">
        <x:v>https://assets.marinha.mil.br/chm/sites/www.marinha.mil.br.chm/files/dados_de_mare/15%20-%20PORTO%20DE%20LU%C3%8DS%20CORREIA%2055%20-%2057.pdf</x:v>
      </x:c>
      <x:c r="I16" s="14" t="str">
        <x:v>https://www.marinha.mil.br/chm/tabuas-de-mare-6</x:v>
      </x:c>
      <x:c r="J16" s="14" t="str">
        <x:v>https://www.google.com/maps?q=-2.85,-41.65</x:v>
      </x:c>
      <x:c r="K16" s="14" t="str"/>
    </x:row>
    <x:row r="17">
      <x:c r="A17" s="14" t="n">
        <x:v>16</x:v>
      </x:c>
      <x:c r="B17" s="14" t="str">
        <x:v>Ceará</x:v>
      </x:c>
      <x:c r="C17" s="14" t="str">
        <x:v>Terminal</x:v>
      </x:c>
      <x:c r="D17" s="14" t="str">
        <x:v>TERMINAL PORTUÁRIO DO PECÉM</x:v>
      </x:c>
      <x:c r="E17" s="14" t="str">
        <x:v>58 - 60</x:v>
      </x:c>
      <x:c r="F17" s="14" t="n">
        <x:v>-3.54</x:v>
      </x:c>
      <x:c r="G17" s="14" t="n">
        <x:v>-38.8</x:v>
      </x:c>
      <x:c r="H17" s="14" t="str">
        <x:v>https://assets.marinha.mil.br/chm/sites/www.marinha.mil.br.chm/files/dados_de_mare/16%20-%20TERMINAL%20PORTU%C3%81RIO%20DO%20PEC%C3%89M%20%2058%20-%2060.pdf</x:v>
      </x:c>
      <x:c r="I17" s="14" t="str">
        <x:v>https://www.marinha.mil.br/chm/tabuas-de-mare-6</x:v>
      </x:c>
      <x:c r="J17" s="14" t="str">
        <x:v>https://www.google.com/maps?q=-3.54,-38.8</x:v>
      </x:c>
      <x:c r="K17" s="14" t="str"/>
    </x:row>
    <x:row r="18">
      <x:c r="A18" s="14" t="n">
        <x:v>17</x:v>
      </x:c>
      <x:c r="B18" s="14" t="str">
        <x:v>Ceará</x:v>
      </x:c>
      <x:c r="C18" s="14" t="str">
        <x:v>Porto</x:v>
      </x:c>
      <x:c r="D18" s="14" t="str">
        <x:v>PORTO DE MUCURIPE - FORTALEZA</x:v>
      </x:c>
      <x:c r="E18" s="14" t="str">
        <x:v>61 - 63</x:v>
      </x:c>
      <x:c r="F18" s="14" t="n">
        <x:v>-3.72</x:v>
      </x:c>
      <x:c r="G18" s="14" t="n">
        <x:v>-38.48</x:v>
      </x:c>
      <x:c r="H18" s="14" t="str">
        <x:v>https://assets.marinha.mil.br/chm/sites/www.marinha.mil.br.chm/files/dados_de_mare/17%20-%20PORTO%20DE%20MUCURIPE%20-%20FORTALEZA%2061%20-%2063.pdf</x:v>
      </x:c>
      <x:c r="I18" s="14" t="str">
        <x:v>https://www.marinha.mil.br/chm/tabuas-de-mare-6</x:v>
      </x:c>
      <x:c r="J18" s="14" t="str">
        <x:v>https://www.google.com/maps?q=-3.72,-38.48</x:v>
      </x:c>
      <x:c r="K18" s="14" t="str"/>
    </x:row>
    <x:row r="19">
      <x:c r="A19" s="14" t="n">
        <x:v>18</x:v>
      </x:c>
      <x:c r="B19" s="14" t="str">
        <x:v>Pernambuco</x:v>
      </x:c>
      <x:c r="C19" s="14" t="str">
        <x:v>Ilha/Arquipélago</x:v>
      </x:c>
      <x:c r="D19" s="14" t="str">
        <x:v>ARQUIPÉLAGO DE FERNANDO DE NORONHA</x:v>
      </x:c>
      <x:c r="E19" s="14" t="str">
        <x:v>64 - 66</x:v>
      </x:c>
      <x:c r="F19" s="14" t="n">
        <x:v>-3.83</x:v>
      </x:c>
      <x:c r="G19" s="14" t="n">
        <x:v>-32.4</x:v>
      </x:c>
      <x:c r="H19" s="14" t="str">
        <x:v>https://assets.marinha.mil.br/chm/sites/www.marinha.mil.br.chm/files/dados_de_mare/18%20-%20ARQUIP%C3%89LAGO%20DE%20FERNANDO%20DE%20NORONHA%2064%20-%2066.pdf</x:v>
      </x:c>
      <x:c r="I19" s="14" t="str">
        <x:v>https://www.marinha.mil.br/chm/tabuas-de-mare-6</x:v>
      </x:c>
      <x:c r="J19" s="14" t="str">
        <x:v>https://www.google.com/maps?q=-3.83,-32.4</x:v>
      </x:c>
      <x:c r="K19" s="14" t="str"/>
    </x:row>
    <x:row r="20">
      <x:c r="A20" s="14" t="n">
        <x:v>19</x:v>
      </x:c>
      <x:c r="B20" s="14" t="str">
        <x:v>Rio Grande do Norte</x:v>
      </x:c>
      <x:c r="C20" s="14" t="str">
        <x:v>Porto</x:v>
      </x:c>
      <x:c r="D20" s="14" t="str">
        <x:v>PORTO DE AREIA BRANCA - TERMISA</x:v>
      </x:c>
      <x:c r="E20" s="14" t="str">
        <x:v>67 - 69</x:v>
      </x:c>
      <x:c r="F20" s="14" t="n">
        <x:v>-4.83</x:v>
      </x:c>
      <x:c r="G20" s="14" t="n">
        <x:v>-37.04</x:v>
      </x:c>
      <x:c r="H20" s="14" t="str">
        <x:v>https://assets.marinha.mil.br/chm/sites/www.marinha.mil.br.chm/files/dados_de_mare/19%20-%20PORTO%20DE%20AREIA%20BRANCA%20-%20TERMISA%20-%2067%20-%2069.pdf</x:v>
      </x:c>
      <x:c r="I20" s="14" t="str">
        <x:v>https://www.marinha.mil.br/chm/tabuas-de-mare-6</x:v>
      </x:c>
      <x:c r="J20" s="14" t="str">
        <x:v>https://www.google.com/maps?q=-4.83,-37.04</x:v>
      </x:c>
      <x:c r="K20" s="14" t="str"/>
    </x:row>
    <x:row r="21">
      <x:c r="A21" s="14" t="n">
        <x:v>20</x:v>
      </x:c>
      <x:c r="B21" s="14" t="str">
        <x:v>Rio Grande do Norte</x:v>
      </x:c>
      <x:c r="C21" s="14" t="str">
        <x:v>Porto</x:v>
      </x:c>
      <x:c r="D21" s="14" t="str">
        <x:v>PORTO DE MACAU</x:v>
      </x:c>
      <x:c r="E21" s="14" t="str">
        <x:v>70 - 72</x:v>
      </x:c>
      <x:c r="F21" s="14" t="n">
        <x:v>-5.1</x:v>
      </x:c>
      <x:c r="G21" s="14" t="n">
        <x:v>-36.67</x:v>
      </x:c>
      <x:c r="H21" s="14" t="str">
        <x:v>https://assets.marinha.mil.br/chm/sites/www.marinha.mil.br.chm/files/dados_de_mare/20%20-%20PORTO%20DE%20MACAU%20-%2070%20-%2072.pdf</x:v>
      </x:c>
      <x:c r="I21" s="14" t="str">
        <x:v>https://www.marinha.mil.br/chm/tabuas-de-mare-6</x:v>
      </x:c>
      <x:c r="J21" s="14" t="str">
        <x:v>https://www.google.com/maps?q=-5.1,-36.67</x:v>
      </x:c>
      <x:c r="K21" s="14" t="str"/>
    </x:row>
    <x:row r="22">
      <x:c r="A22" s="14" t="n">
        <x:v>21</x:v>
      </x:c>
      <x:c r="B22" s="14" t="str">
        <x:v>Rio Grande do Norte</x:v>
      </x:c>
      <x:c r="C22" s="14" t="str">
        <x:v>Porto</x:v>
      </x:c>
      <x:c r="D22" s="14" t="str">
        <x:v>PORTO DE GUAMARÉ</x:v>
      </x:c>
      <x:c r="E22" s="14" t="str">
        <x:v>73 - 75</x:v>
      </x:c>
      <x:c r="F22" s="14" t="n">
        <x:v>-5.11</x:v>
      </x:c>
      <x:c r="G22" s="14" t="n">
        <x:v>-36.32</x:v>
      </x:c>
      <x:c r="H22" s="14" t="str">
        <x:v>https://assets.marinha.mil.br/chm/sites/www.marinha.mil.br.chm/files/dados_de_mare/21%20-%20PORTO%20DE%20GUAMAR%C3%89-%2073%20-%2075.pdf</x:v>
      </x:c>
      <x:c r="I22" s="14" t="str">
        <x:v>https://www.marinha.mil.br/chm/tabuas-de-mare-6</x:v>
      </x:c>
      <x:c r="J22" s="14" t="str">
        <x:v>https://www.google.com/maps?q=-5.11,-36.32</x:v>
      </x:c>
      <x:c r="K22" s="14" t="str"/>
    </x:row>
    <x:row r="23">
      <x:c r="A23" s="14" t="n">
        <x:v>22</x:v>
      </x:c>
      <x:c r="B23" s="14" t="str">
        <x:v>Rio Grande do Norte</x:v>
      </x:c>
      <x:c r="C23" s="14" t="str">
        <x:v>Porto</x:v>
      </x:c>
      <x:c r="D23" s="14" t="str">
        <x:v>PORTO DE NATAL - COM3DN</x:v>
      </x:c>
      <x:c r="E23" s="14" t="str">
        <x:v>76 - 78</x:v>
      </x:c>
      <x:c r="F23" s="14" t="n">
        <x:v>-5.77</x:v>
      </x:c>
      <x:c r="G23" s="14" t="n">
        <x:v>-35.2</x:v>
      </x:c>
      <x:c r="H23" s="14" t="str">
        <x:v>https://assets.marinha.mil.br/chm/sites/www.marinha.mil.br.chm/files/dados_de_mare/22%20-%20PORTO%20DE%20NATAL%20-%20COM3DN%20-%2076%20-78.pdf</x:v>
      </x:c>
      <x:c r="I23" s="14" t="str">
        <x:v>https://www.marinha.mil.br/chm/tabuas-de-mare-6</x:v>
      </x:c>
      <x:c r="J23" s="14" t="str">
        <x:v>https://www.google.com/maps?q=-5.77,-35.2</x:v>
      </x:c>
      <x:c r="K23" s="14" t="str"/>
    </x:row>
    <x:row r="24">
      <x:c r="A24" s="14" t="n">
        <x:v>23</x:v>
      </x:c>
      <x:c r="B24" s="14" t="str">
        <x:v>Paraíba</x:v>
      </x:c>
      <x:c r="C24" s="14" t="str">
        <x:v>Porto</x:v>
      </x:c>
      <x:c r="D24" s="14" t="str">
        <x:v>PORTO DE CABEDELO</x:v>
      </x:c>
      <x:c r="E24" s="14" t="str">
        <x:v>79 - 81</x:v>
      </x:c>
      <x:c r="F24" s="14" t="n">
        <x:v>-6.97</x:v>
      </x:c>
      <x:c r="G24" s="14" t="n">
        <x:v>-34.84</x:v>
      </x:c>
      <x:c r="H24" s="14" t="str">
        <x:v>https://assets.marinha.mil.br/chm/sites/www.marinha.mil.br.chm/files/dados_de_mare/23%20-%20PORTO%20DE%20CABEDELO%20-%2079%20-%2081.pdf</x:v>
      </x:c>
      <x:c r="I24" s="14" t="str">
        <x:v>https://www.marinha.mil.br/chm/tabuas-de-mare-6</x:v>
      </x:c>
      <x:c r="J24" s="14" t="str">
        <x:v>https://www.google.com/maps?q=-6.97,-34.84</x:v>
      </x:c>
      <x:c r="K24" s="14" t="str"/>
    </x:row>
    <x:row r="25">
      <x:c r="A25" s="14" t="n">
        <x:v>24</x:v>
      </x:c>
      <x:c r="B25" s="14" t="str">
        <x:v>Pernambuco</x:v>
      </x:c>
      <x:c r="C25" s="14" t="str">
        <x:v>Porto</x:v>
      </x:c>
      <x:c r="D25" s="14" t="str">
        <x:v>PORTO DO RECIFE</x:v>
      </x:c>
      <x:c r="E25" s="14" t="str">
        <x:v>82 - 84</x:v>
      </x:c>
      <x:c r="F25" s="14" t="n">
        <x:v>-8.06</x:v>
      </x:c>
      <x:c r="G25" s="14" t="n">
        <x:v>-34.87</x:v>
      </x:c>
      <x:c r="H25" s="14" t="str">
        <x:v>https://assets.marinha.mil.br/chm/sites/www.marinha.mil.br.chm/files/dados_de_mare/24%20-%20PORTO%20DO%20RECIFE%20-%2082%20-%2084.pdf</x:v>
      </x:c>
      <x:c r="I25" s="14" t="str">
        <x:v>https://www.marinha.mil.br/chm/tabuas-de-mare-6</x:v>
      </x:c>
      <x:c r="J25" s="14" t="str">
        <x:v>https://www.google.com/maps?q=-8.06,-34.87</x:v>
      </x:c>
      <x:c r="K25" s="14" t="str"/>
    </x:row>
    <x:row r="26">
      <x:c r="A26" s="14" t="n">
        <x:v>25</x:v>
      </x:c>
      <x:c r="B26" s="14" t="str">
        <x:v>Pernambuco</x:v>
      </x:c>
      <x:c r="C26" s="14" t="str">
        <x:v>Porto</x:v>
      </x:c>
      <x:c r="D26" s="14" t="str">
        <x:v>PORTO DE SUAPE</x:v>
      </x:c>
      <x:c r="E26" s="14" t="str">
        <x:v>85 - 87</x:v>
      </x:c>
      <x:c r="F26" s="14" t="n">
        <x:v>-8.39</x:v>
      </x:c>
      <x:c r="G26" s="14" t="n">
        <x:v>-34.96</x:v>
      </x:c>
      <x:c r="H26" s="14" t="str">
        <x:v>https://assets.marinha.mil.br/chm/sites/www.marinha.mil.br.chm/files/dados_de_mare/25%20-%20PORTO%20DE%20SUAPE%20-%2085%20-87.pdf</x:v>
      </x:c>
      <x:c r="I26" s="14" t="str">
        <x:v>https://www.marinha.mil.br/chm/tabuas-de-mare-6</x:v>
      </x:c>
      <x:c r="J26" s="14" t="str">
        <x:v>https://www.google.com/maps?q=-8.39,-34.96</x:v>
      </x:c>
      <x:c r="K26" s="14" t="str"/>
    </x:row>
    <x:row r="27">
      <x:c r="A27" s="14" t="n">
        <x:v>26</x:v>
      </x:c>
      <x:c r="B27" s="14" t="str">
        <x:v>Alagoas</x:v>
      </x:c>
      <x:c r="C27" s="14" t="str">
        <x:v>Porto</x:v>
      </x:c>
      <x:c r="D27" s="14" t="str">
        <x:v>PORTO DE MACEIÓ</x:v>
      </x:c>
      <x:c r="E27" s="14" t="str">
        <x:v>88 - 90</x:v>
      </x:c>
      <x:c r="F27" s="14" t="n">
        <x:v>-9.68</x:v>
      </x:c>
      <x:c r="G27" s="14" t="n">
        <x:v>-35.73</x:v>
      </x:c>
      <x:c r="H27" s="14" t="str">
        <x:v>https://assets.marinha.mil.br/chm/sites/www.marinha.mil.br.chm/files/dados_de_mare/26%20-%20PORTO%20DE%20MACEI%C3%93%20-%2088%20-90.pdf</x:v>
      </x:c>
      <x:c r="I27" s="14" t="str">
        <x:v>https://www.marinha.mil.br/chm/tabuas-de-mare-6</x:v>
      </x:c>
      <x:c r="J27" s="14" t="str">
        <x:v>https://www.google.com/maps?q=-9.68,-35.73</x:v>
      </x:c>
      <x:c r="K27" s="14" t="str"/>
    </x:row>
    <x:row r="28">
      <x:c r="A28" s="14" t="n">
        <x:v>27</x:v>
      </x:c>
      <x:c r="B28" s="14" t="str">
        <x:v>Sergipe</x:v>
      </x:c>
      <x:c r="C28" s="14" t="str">
        <x:v>Terminal</x:v>
      </x:c>
      <x:c r="D28" s="14" t="str">
        <x:v>TERMINAL MARÍTIMO INÁCIO BARBOSA</x:v>
      </x:c>
      <x:c r="E28" s="14" t="str">
        <x:v>91 - 93</x:v>
      </x:c>
      <x:c r="F28" s="14" t="n">
        <x:v>-10.84</x:v>
      </x:c>
      <x:c r="G28" s="14" t="n">
        <x:v>-36.92</x:v>
      </x:c>
      <x:c r="H28" s="14" t="str">
        <x:v>https://assets.marinha.mil.br/chm/sites/www.marinha.mil.br.chm/files/dados_de_mare/27%20-%20TERMINAL%20MAR%C3%8DTIMO%20IN%C3%81CIO%20BARBOSA%20-%2091%20-%2093.pdf</x:v>
      </x:c>
      <x:c r="I28" s="14" t="str">
        <x:v>https://www.marinha.mil.br/chm/tabuas-de-mare-6?page=1</x:v>
      </x:c>
      <x:c r="J28" s="14" t="str">
        <x:v>https://www.google.com/maps?q=-10.84,-36.92</x:v>
      </x:c>
      <x:c r="K28" s="14" t="str"/>
    </x:row>
    <x:row r="29">
      <x:c r="A29" s="14" t="n">
        <x:v>28</x:v>
      </x:c>
      <x:c r="B29" s="14" t="str">
        <x:v>Sergipe</x:v>
      </x:c>
      <x:c r="C29" s="14" t="str">
        <x:v>Capitania</x:v>
      </x:c>
      <x:c r="D29" s="14" t="str">
        <x:v>CAPITANIA DOS PORTOS DE SERGIPE</x:v>
      </x:c>
      <x:c r="E29" s="14" t="str">
        <x:v>94 - 96</x:v>
      </x:c>
      <x:c r="F29" s="14" t="n">
        <x:v>-10.92</x:v>
      </x:c>
      <x:c r="G29" s="14" t="n">
        <x:v>-37.05</x:v>
      </x:c>
      <x:c r="H29" s="14" t="str">
        <x:v>https://assets.marinha.mil.br/chm/sites/www.marinha.mil.br.chm/files/dados_de_mare/28%20-%20CAPITANIA%20DOS%20PORTOS%20DE%20SERGIPE%20-%2094%20-%2096.pdf</x:v>
      </x:c>
      <x:c r="I29" s="14" t="str">
        <x:v>https://www.marinha.mil.br/chm/tabuas-de-mare-6?page=1</x:v>
      </x:c>
      <x:c r="J29" s="14" t="str">
        <x:v>https://www.google.com/maps?q=-10.92,-37.05</x:v>
      </x:c>
      <x:c r="K29" s="14" t="str"/>
    </x:row>
    <x:row r="30">
      <x:c r="A30" s="14" t="n">
        <x:v>29</x:v>
      </x:c>
      <x:c r="B30" s="14" t="str">
        <x:v>Bahia</x:v>
      </x:c>
      <x:c r="C30" s="14" t="str">
        <x:v>Porto</x:v>
      </x:c>
      <x:c r="D30" s="14" t="str">
        <x:v>PORTO DE MADRE DE DEUS</x:v>
      </x:c>
      <x:c r="E30" s="14" t="str">
        <x:v>97 - 99</x:v>
      </x:c>
      <x:c r="F30" s="14" t="n">
        <x:v>-12.75</x:v>
      </x:c>
      <x:c r="G30" s="14" t="n">
        <x:v>-38.62</x:v>
      </x:c>
      <x:c r="H30" s="14" t="str">
        <x:v>https://assets.marinha.mil.br/chm/sites/www.marinha.mil.br.chm/files/dados_de_mare/29%20-%20PORTO%20DE%20MADRE%20DE%20DEUS%20-%2097%20-%2099.pdf</x:v>
      </x:c>
      <x:c r="I30" s="14" t="str">
        <x:v>https://www.marinha.mil.br/chm/tabuas-de-mare-6</x:v>
      </x:c>
      <x:c r="J30" s="14" t="str">
        <x:v>https://www.google.com/maps?q=-12.75,-38.62</x:v>
      </x:c>
      <x:c r="K30" s="14" t="str"/>
    </x:row>
    <x:row r="31">
      <x:c r="A31" s="14" t="n">
        <x:v>30</x:v>
      </x:c>
      <x:c r="B31" s="14" t="str">
        <x:v>Bahia</x:v>
      </x:c>
      <x:c r="C31" s="14" t="str">
        <x:v>Porto</x:v>
      </x:c>
      <x:c r="D31" s="14" t="str">
        <x:v>PORTO DE ARATU - BASE NAVAL</x:v>
      </x:c>
      <x:c r="E31" s="14" t="str">
        <x:v>100 - 102</x:v>
      </x:c>
      <x:c r="F31" s="14" t="n">
        <x:v>-12.8</x:v>
      </x:c>
      <x:c r="G31" s="14" t="n">
        <x:v>-38.5</x:v>
      </x:c>
      <x:c r="H31" s="14" t="str">
        <x:v>https://assets.marinha.mil.br/chm/sites/www.marinha.mil.br.chm/files/dados_de_mare/30%20-%20PORTO%20DE%20ARATU%20-%20BASE%20NAVAL%20100%20-%20102.pdf</x:v>
      </x:c>
      <x:c r="I31" s="14" t="str">
        <x:v>https://www.marinha.mil.br/chm/tabuas-de-mare-6</x:v>
      </x:c>
      <x:c r="J31" s="14" t="str">
        <x:v>https://www.google.com/maps?q=-12.8,-38.5</x:v>
      </x:c>
      <x:c r="K31" s="14" t="str"/>
    </x:row>
    <x:row r="32">
      <x:c r="A32" s="14" t="n">
        <x:v>31</x:v>
      </x:c>
      <x:c r="B32" s="14" t="str">
        <x:v>Bahia</x:v>
      </x:c>
      <x:c r="C32" s="14" t="str">
        <x:v>Porto</x:v>
      </x:c>
      <x:c r="D32" s="14" t="str">
        <x:v>PORTO DE SALVADOR</x:v>
      </x:c>
      <x:c r="E32" s="14" t="str">
        <x:v>103 - 105</x:v>
      </x:c>
      <x:c r="F32" s="14" t="n">
        <x:v>-12.97</x:v>
      </x:c>
      <x:c r="G32" s="14" t="n">
        <x:v>-38.52</x:v>
      </x:c>
      <x:c r="H32" s="14" t="str">
        <x:v>https://assets.marinha.mil.br/chm/sites/www.marinha.mil.br.chm/files/dados_de_mare/31%20-%20PORTO%20DE%20SALVADOR%20-%20103%20-%20105.pdf</x:v>
      </x:c>
      <x:c r="I32" s="14" t="str">
        <x:v>https://www.marinha.mil.br/chm/tabuas-de-mare-6</x:v>
      </x:c>
      <x:c r="J32" s="14" t="str">
        <x:v>https://www.google.com/maps?q=-12.97,-38.52</x:v>
      </x:c>
      <x:c r="K32" s="14" t="str"/>
    </x:row>
    <x:row r="33">
      <x:c r="A33" s="14" t="n">
        <x:v>32</x:v>
      </x:c>
      <x:c r="B33" s="14" t="str">
        <x:v>Bahia</x:v>
      </x:c>
      <x:c r="C33" s="14" t="str">
        <x:v>Porto</x:v>
      </x:c>
      <x:c r="D33" s="14" t="str">
        <x:v>PORTO DE ILHÉUS - MALHADO</x:v>
      </x:c>
      <x:c r="E33" s="14" t="str">
        <x:v>106 - 108</x:v>
      </x:c>
      <x:c r="F33" s="14" t="n">
        <x:v>-14.78</x:v>
      </x:c>
      <x:c r="G33" s="14" t="n">
        <x:v>-39.03</x:v>
      </x:c>
      <x:c r="H33" s="14" t="str">
        <x:v>https://assets.marinha.mil.br/chm/sites/www.marinha.mil.br.chm/files/dados_de_mare/32%20-%20PORTO%20DE%20ILH%C3%89US%20-%20MALHADO%20-%20106%20-%20108.pdf</x:v>
      </x:c>
      <x:c r="I33" s="14" t="str">
        <x:v>https://www.marinha.mil.br/chm/tabuas-de-mare-6</x:v>
      </x:c>
      <x:c r="J33" s="14" t="str">
        <x:v>https://www.google.com/maps?q=-14.78,-39.03</x:v>
      </x:c>
      <x:c r="K33" s="14" t="str"/>
    </x:row>
    <x:row r="34">
      <x:c r="A34" s="14" t="n">
        <x:v>33</x:v>
      </x:c>
      <x:c r="B34" s="14" t="str">
        <x:v>Espírito Santo</x:v>
      </x:c>
      <x:c r="C34" s="14" t="str">
        <x:v>Terminal</x:v>
      </x:c>
      <x:c r="D34" s="14" t="str">
        <x:v>TERMINAL DE BARRA DO RIACHO</x:v>
      </x:c>
      <x:c r="E34" s="14" t="str">
        <x:v>109 - 111</x:v>
      </x:c>
      <x:c r="F34" s="14" t="n">
        <x:v>-19.84</x:v>
      </x:c>
      <x:c r="G34" s="14" t="n">
        <x:v>-40.06</x:v>
      </x:c>
      <x:c r="H34" s="14" t="str">
        <x:v>https://assets.marinha.mil.br/chm/sites/www.marinha.mil.br.chm/files/dados_de_mare/33%20-%20TERMINAL%20DE%20BARRA%20DO%20RIACHO%20-%20109%20-%20111.pdf</x:v>
      </x:c>
      <x:c r="I34" s="14" t="str">
        <x:v>https://www.marinha.mil.br/chm/tabuas-de-mare-6</x:v>
      </x:c>
      <x:c r="J34" s="14" t="str">
        <x:v>https://www.google.com/maps?q=-19.84,-40.06</x:v>
      </x:c>
      <x:c r="K34" s="14" t="str"/>
    </x:row>
    <x:row r="35">
      <x:c r="A35" s="14" t="n">
        <x:v>34</x:v>
      </x:c>
      <x:c r="B35" s="14" t="str">
        <x:v>Espírito Santo</x:v>
      </x:c>
      <x:c r="C35" s="14" t="str">
        <x:v>Porto</x:v>
      </x:c>
      <x:c r="D35" s="14" t="str">
        <x:v>PORTO DE TUBARÃO</x:v>
      </x:c>
      <x:c r="E35" s="14" t="str">
        <x:v>112 - 114</x:v>
      </x:c>
      <x:c r="F35" s="14" t="n">
        <x:v>-20.29</x:v>
      </x:c>
      <x:c r="G35" s="14" t="n">
        <x:v>-40.24</x:v>
      </x:c>
      <x:c r="H35" s="14" t="str">
        <x:v>https://assets.marinha.mil.br/chm/sites/www.marinha.mil.br.chm/files/dados_de_mare/34%20-%20PORTO%20DE%20TUBAR%C3%83O%20-%20112%20-%20114.pdf</x:v>
      </x:c>
      <x:c r="I35" s="14" t="str">
        <x:v>https://www.marinha.mil.br/chm/tabuas-de-mare-6</x:v>
      </x:c>
      <x:c r="J35" s="14" t="str">
        <x:v>https://www.google.com/maps?q=-20.29,-40.24</x:v>
      </x:c>
      <x:c r="K35" s="14" t="str"/>
    </x:row>
    <x:row r="36">
      <x:c r="A36" s="14" t="n">
        <x:v>35</x:v>
      </x:c>
      <x:c r="B36" s="14" t="str">
        <x:v>Espírito Santo</x:v>
      </x:c>
      <x:c r="C36" s="14" t="str">
        <x:v>Porto</x:v>
      </x:c>
      <x:c r="D36" s="14" t="str">
        <x:v>PORTO DE VITÓRIA</x:v>
      </x:c>
      <x:c r="E36" s="14" t="str">
        <x:v>115 - 117</x:v>
      </x:c>
      <x:c r="F36" s="14" t="n">
        <x:v>-20.32</x:v>
      </x:c>
      <x:c r="G36" s="14" t="n">
        <x:v>-40.34</x:v>
      </x:c>
      <x:c r="H36" s="14" t="str">
        <x:v>https://assets.marinha.mil.br/chm/sites/www.marinha.mil.br.chm/files/dados_de_mare/35%20-%20PORTO%20DE%20VIT%C3%93RIA%20-%20115%20-%20117.pdf</x:v>
      </x:c>
      <x:c r="I36" s="14" t="str">
        <x:v>https://www.marinha.mil.br/chm/tabuas-de-mare-6</x:v>
      </x:c>
      <x:c r="J36" s="14" t="str">
        <x:v>https://www.google.com/maps?q=-20.32,-40.34</x:v>
      </x:c>
      <x:c r="K36" s="14" t="str"/>
    </x:row>
    <x:row r="37">
      <x:c r="A37" s="14" t="n">
        <x:v>36</x:v>
      </x:c>
      <x:c r="B37" s="14" t="str">
        <x:v>Espírito Santo</x:v>
      </x:c>
      <x:c r="C37" s="14" t="str">
        <x:v>Ilha/Arquipélago</x:v>
      </x:c>
      <x:c r="D37" s="14" t="str">
        <x:v>ILHA DA TRINDADE</x:v>
      </x:c>
      <x:c r="E37" s="14" t="str">
        <x:v>118 - 120</x:v>
      </x:c>
      <x:c r="F37" s="14" t="n">
        <x:v>-20.51</x:v>
      </x:c>
      <x:c r="G37" s="14" t="n">
        <x:v>-29.31</x:v>
      </x:c>
      <x:c r="H37" s="14" t="str">
        <x:v>https://assets.marinha.mil.br/chm/sites/www.marinha.mil.br.chm/files/dados_de_mare/36%20-%20ILHA%20DA%20TRINDADE%20-%20118%20-%20120.pdf</x:v>
      </x:c>
      <x:c r="I37" s="14" t="str">
        <x:v>https://www.marinha.mil.br/chm/tabuas-de-mare-6</x:v>
      </x:c>
      <x:c r="J37" s="14" t="str">
        <x:v>https://www.google.com/maps?q=-20.51,-29.31</x:v>
      </x:c>
      <x:c r="K37" s="14" t="str"/>
    </x:row>
    <x:row r="38">
      <x:c r="A38" s="14" t="n">
        <x:v>37</x:v>
      </x:c>
      <x:c r="B38" s="14" t="str">
        <x:v>Espírito Santo</x:v>
      </x:c>
      <x:c r="C38" s="14" t="str">
        <x:v>Terminal</x:v>
      </x:c>
      <x:c r="D38" s="14" t="str">
        <x:v>TERMINAL DA PONTA DO UBU</x:v>
      </x:c>
      <x:c r="E38" s="14" t="str">
        <x:v>121 - 123</x:v>
      </x:c>
      <x:c r="F38" s="14" t="n">
        <x:v>-20.79</x:v>
      </x:c>
      <x:c r="G38" s="14" t="n">
        <x:v>-40.57</x:v>
      </x:c>
      <x:c r="H38" s="14" t="str">
        <x:v>https://assets.marinha.mil.br/chm/sites/www.marinha.mil.br.chm/files/dados_de_mare/37%20-%20TERMINAL%20DA%20PONTA%20DO%20UBU%20-%20121%20-%20123.pdf</x:v>
      </x:c>
      <x:c r="I38" s="14" t="str">
        <x:v>https://www.marinha.mil.br/chm/tabuas-de-mare-6</x:v>
      </x:c>
      <x:c r="J38" s="14" t="str">
        <x:v>https://www.google.com/maps?q=-20.79,-40.57</x:v>
      </x:c>
      <x:c r="K38" s="14" t="str"/>
    </x:row>
    <x:row r="39">
      <x:c r="A39" s="14" t="n">
        <x:v>38</x:v>
      </x:c>
      <x:c r="B39" s="14" t="str">
        <x:v>Rio de Janeiro</x:v>
      </x:c>
      <x:c r="C39" s="14" t="str">
        <x:v>Porto</x:v>
      </x:c>
      <x:c r="D39" s="14" t="str">
        <x:v>PORTO DO AÇU</x:v>
      </x:c>
      <x:c r="E39" s="14" t="str">
        <x:v>124 - 126</x:v>
      </x:c>
      <x:c r="F39" s="14" t="n">
        <x:v>-21.81</x:v>
      </x:c>
      <x:c r="G39" s="14" t="n">
        <x:v>-40.1</x:v>
      </x:c>
      <x:c r="H39" s="14" t="str">
        <x:v>https://assets.marinha.mil.br/chm/sites/www.marinha.mil.br.chm/files/dados_de_mare/38%20-%20PORTO%20DO%20A%C3%87U%20-%20124%20-%20126.pdf</x:v>
      </x:c>
      <x:c r="I39" s="14" t="str">
        <x:v>https://www.marinha.mil.br/chm/tabuas-de-mare-6</x:v>
      </x:c>
      <x:c r="J39" s="14" t="str">
        <x:v>https://www.google.com/maps?q=-21.81,-40.1</x:v>
      </x:c>
      <x:c r="K39" s="14" t="str"/>
    </x:row>
    <x:row r="40">
      <x:c r="A40" s="14" t="n">
        <x:v>39</x:v>
      </x:c>
      <x:c r="B40" s="14" t="str">
        <x:v>Rio de Janeiro</x:v>
      </x:c>
      <x:c r="C40" s="14" t="str">
        <x:v>Terminal</x:v>
      </x:c>
      <x:c r="D40" s="14" t="str">
        <x:v>TERMINAL MARÍTIMO DE IMBETIBA</x:v>
      </x:c>
      <x:c r="E40" s="14" t="str">
        <x:v>127 - 129</x:v>
      </x:c>
      <x:c r="F40" s="14" t="n">
        <x:v>-22.39</x:v>
      </x:c>
      <x:c r="G40" s="14" t="n">
        <x:v>-41.77</x:v>
      </x:c>
      <x:c r="H40" s="14" t="str">
        <x:v>https://assets.marinha.mil.br/chm/sites/www.marinha.mil.br.chm/files/dados_de_mare/39%20-%20TERMINAL%20MAR%C3%8DTIMO%20DE%20IMBETIBA%20-%20127%20-%20129.pdf</x:v>
      </x:c>
      <x:c r="I40" s="14" t="str">
        <x:v>https://www.marinha.mil.br/chm/tabuas-de-mare-6</x:v>
      </x:c>
      <x:c r="J40" s="14" t="str">
        <x:v>https://www.google.com/maps?q=-22.39,-41.77</x:v>
      </x:c>
      <x:c r="K40" s="14" t="str"/>
    </x:row>
    <x:row r="41">
      <x:c r="A41" s="14" t="n">
        <x:v>40</x:v>
      </x:c>
      <x:c r="B41" s="14" t="str">
        <x:v>Rio de Janeiro</x:v>
      </x:c>
      <x:c r="C41" s="14" t="str">
        <x:v>Porto</x:v>
      </x:c>
      <x:c r="D41" s="14" t="str">
        <x:v>PORTO DO RIO DE JANEIRO - ILHA FISCAL</x:v>
      </x:c>
      <x:c r="E41" s="14" t="str">
        <x:v>130 - 132</x:v>
      </x:c>
      <x:c r="F41" s="14" t="n">
        <x:v>-22.9</x:v>
      </x:c>
      <x:c r="G41" s="14" t="n">
        <x:v>-43.17</x:v>
      </x:c>
      <x:c r="H41" s="14" t="str">
        <x:v>https://assets.marinha.mil.br/chm/sites/www.marinha.mil.br.chm/files/dados_de_mare/40%20-%20PORTO%20DO%20RIO%20DE%20JANEIRO%20-%20I%20FISCAL%20-%20130%20-%20132.pdf</x:v>
      </x:c>
      <x:c r="I41" s="14" t="str">
        <x:v>https://www.marinha.mil.br/chm/tabuas-de-mare-6</x:v>
      </x:c>
      <x:c r="J41" s="14" t="str">
        <x:v>https://www.google.com/maps?q=-22.9,-43.17</x:v>
      </x:c>
      <x:c r="K41" s="14" t="str"/>
    </x:row>
    <x:row r="42">
      <x:c r="A42" s="14" t="n">
        <x:v>41</x:v>
      </x:c>
      <x:c r="B42" s="14" t="str">
        <x:v>Rio de Janeiro</x:v>
      </x:c>
      <x:c r="C42" s="14" t="str">
        <x:v>Porto</x:v>
      </x:c>
      <x:c r="D42" s="14" t="str">
        <x:v>PORTO DE ITAGUAÍ</x:v>
      </x:c>
      <x:c r="E42" s="14" t="str">
        <x:v>133 - 135</x:v>
      </x:c>
      <x:c r="F42" s="14" t="n">
        <x:v>-22.93</x:v>
      </x:c>
      <x:c r="G42" s="14" t="n">
        <x:v>-43.84</x:v>
      </x:c>
      <x:c r="H42" s="14" t="str">
        <x:v>https://assets.marinha.mil.br/chm/sites/www.marinha.mil.br.chm/files/dados_de_mare/41%20-%20PORTO%20DE%20ITAGUA%C3%8D%20-%20133%20-%20135.pdf</x:v>
      </x:c>
      <x:c r="I42" s="14" t="str">
        <x:v>https://www.marinha.mil.br/chm/tabuas-de-mare-6</x:v>
      </x:c>
      <x:c r="J42" s="14" t="str">
        <x:v>https://www.google.com/maps?q=-22.93,-43.84</x:v>
      </x:c>
      <x:c r="K42" s="14" t="str"/>
    </x:row>
    <x:row r="43">
      <x:c r="A43" s="14" t="n">
        <x:v>42</x:v>
      </x:c>
      <x:c r="B43" s="14" t="str">
        <x:v>Rio de Janeiro</x:v>
      </x:c>
      <x:c r="C43" s="14" t="str">
        <x:v>Porto</x:v>
      </x:c>
      <x:c r="D43" s="14" t="str">
        <x:v>PORTO DO FORNO</x:v>
      </x:c>
      <x:c r="E43" s="14" t="str">
        <x:v>136 - 138</x:v>
      </x:c>
      <x:c r="F43" s="14" t="n">
        <x:v>-22.97</x:v>
      </x:c>
      <x:c r="G43" s="14" t="n">
        <x:v>-42.01</x:v>
      </x:c>
      <x:c r="H43" s="14" t="str">
        <x:v>https://assets.marinha.mil.br/chm/sites/www.marinha.mil.br.chm/files/dados_de_mare/42%20-%20PORTO%20DO%20FORNO%20-%20136%20-%20138.pdf</x:v>
      </x:c>
      <x:c r="I43" s="14" t="str">
        <x:v>https://www.marinha.mil.br/chm/tabuas-de-mare-6</x:v>
      </x:c>
      <x:c r="J43" s="14" t="str">
        <x:v>https://www.google.com/maps?q=-22.97,-42.01</x:v>
      </x:c>
      <x:c r="K43" s="14" t="str"/>
    </x:row>
    <x:row r="44">
      <x:c r="A44" s="14" t="n">
        <x:v>43</x:v>
      </x:c>
      <x:c r="B44" s="14" t="str">
        <x:v>Rio de Janeiro</x:v>
      </x:c>
      <x:c r="C44" s="14" t="str">
        <x:v>Terminal</x:v>
      </x:c>
      <x:c r="D44" s="14" t="str">
        <x:v>TERMINAL DA ILHA GUAÍBA</x:v>
      </x:c>
      <x:c r="E44" s="14" t="str">
        <x:v>139 - 141</x:v>
      </x:c>
      <x:c r="F44" s="14" t="n">
        <x:v>-22.1</x:v>
      </x:c>
      <x:c r="G44" s="14" t="n">
        <x:v>-44.03</x:v>
      </x:c>
      <x:c r="H44" s="14" t="str">
        <x:v>https://assets.marinha.mil.br/chm/sites/www.marinha.mil.br.chm/files/dados_de_mare/43%20-%20TERMINAL%20DA%20ILHA%20GUA%C3%8DBA%20-%20139%20-%20141.pdf</x:v>
      </x:c>
      <x:c r="I44" s="14" t="str">
        <x:v>https://www.marinha.mil.br/chm/tabuas-de-mare-6</x:v>
      </x:c>
      <x:c r="J44" s="14" t="str">
        <x:v>https://www.google.com/maps?q=-22.1,-44.03</x:v>
      </x:c>
      <x:c r="K44" s="14" t="str"/>
    </x:row>
    <x:row r="45">
      <x:c r="A45" s="14" t="n">
        <x:v>44</x:v>
      </x:c>
      <x:c r="B45" s="14" t="str">
        <x:v>Rio de Janeiro</x:v>
      </x:c>
      <x:c r="C45" s="14" t="str">
        <x:v>Porto</x:v>
      </x:c>
      <x:c r="D45" s="14" t="str">
        <x:v>PORTO DE ANGRA DOS REIS</x:v>
      </x:c>
      <x:c r="E45" s="14" t="str">
        <x:v>142 - 144</x:v>
      </x:c>
      <x:c r="F45" s="14" t="n">
        <x:v>-23.01</x:v>
      </x:c>
      <x:c r="G45" s="14" t="n">
        <x:v>-44.32</x:v>
      </x:c>
      <x:c r="H45" s="14" t="str">
        <x:v>https://assets.marinha.mil.br/chm/sites/www.marinha.mil.br.chm/files/dados_de_mare/44%20-%20PORTO%20DE%20ANGRA%20DOS%20REIS%20-%20142%20-144.pdf</x:v>
      </x:c>
      <x:c r="I45" s="14" t="str">
        <x:v>https://www.marinha.mil.br/chm/tabuas-de-mare-6</x:v>
      </x:c>
      <x:c r="J45" s="14" t="str">
        <x:v>https://www.google.com/maps?q=-23.01,-44.32</x:v>
      </x:c>
      <x:c r="K45" s="14" t="str"/>
    </x:row>
    <x:row r="46">
      <x:c r="A46" s="14" t="n">
        <x:v>45</x:v>
      </x:c>
      <x:c r="B46" s="14" t="str">
        <x:v>São Paulo</x:v>
      </x:c>
      <x:c r="C46" s="14" t="str">
        <x:v>Porto</x:v>
      </x:c>
      <x:c r="D46" s="14" t="str">
        <x:v>PORTO DE SÃO SEBASTIÃO</x:v>
      </x:c>
      <x:c r="E46" s="14" t="str">
        <x:v>145 - 147</x:v>
      </x:c>
      <x:c r="F46" s="14" t="n">
        <x:v>-23.81</x:v>
      </x:c>
      <x:c r="G46" s="14" t="n">
        <x:v>-45.4</x:v>
      </x:c>
      <x:c r="H46" s="14" t="str">
        <x:v>https://assets.marinha.mil.br/chm/sites/www.marinha.mil.br.chm/files/dados_de_mare/45%20-%20PORTO%20DE%20S%C3%83O%20SEBASTI%C3%83O%20-%20145%20-%20147.pdf</x:v>
      </x:c>
      <x:c r="I46" s="14" t="str">
        <x:v>https://www.marinha.mil.br/chm/tabuas-de-mare-6?page=1</x:v>
      </x:c>
      <x:c r="J46" s="14" t="str">
        <x:v>https://www.google.com/maps?q=-23.81,-45.4</x:v>
      </x:c>
      <x:c r="K46" s="14" t="str"/>
    </x:row>
    <x:row r="47">
      <x:c r="A47" s="14" t="n">
        <x:v>46</x:v>
      </x:c>
      <x:c r="B47" s="14" t="str">
        <x:v>São Paulo</x:v>
      </x:c>
      <x:c r="C47" s="14" t="str">
        <x:v>Porto</x:v>
      </x:c>
      <x:c r="D47" s="14" t="str">
        <x:v>PORTO DE SANTOS</x:v>
      </x:c>
      <x:c r="E47" s="14" t="str">
        <x:v>148 - 150</x:v>
      </x:c>
      <x:c r="F47" s="14" t="n">
        <x:v>-23.96</x:v>
      </x:c>
      <x:c r="G47" s="14" t="n">
        <x:v>-46.31</x:v>
      </x:c>
      <x:c r="H47" s="14" t="str">
        <x:v>https://assets.marinha.mil.br/chm/sites/www.marinha.mil.br.chm/files/dados_de_mare/46%20-%20PORTO%20DE%20SANTOS%20-%20148%20-%20150.pdf</x:v>
      </x:c>
      <x:c r="I47" s="14" t="str">
        <x:v>https://www.marinha.mil.br/chm/tabuas-de-mare-6?page=1</x:v>
      </x:c>
      <x:c r="J47" s="14" t="str">
        <x:v>https://www.google.com/maps?q=-23.96,-46.31</x:v>
      </x:c>
      <x:c r="K47" s="14" t="str">
        <x:v>Referência oficial mais próxima para Itanhaém, com validação local.</x:v>
      </x:c>
    </x:row>
    <x:row r="48">
      <x:c r="A48" s="14" t="n">
        <x:v>47</x:v>
      </x:c>
      <x:c r="B48" s="14" t="str">
        <x:v>Paraná</x:v>
      </x:c>
      <x:c r="C48" s="14" t="str">
        <x:v>Terminal</x:v>
      </x:c>
      <x:c r="D48" s="14" t="str">
        <x:v>TERMINAL PORTUÁRIO DA PONTA DO FÉLIX</x:v>
      </x:c>
      <x:c r="E48" s="14" t="str">
        <x:v>151 - 153</x:v>
      </x:c>
      <x:c r="F48" s="14" t="n">
        <x:v>-25.46</x:v>
      </x:c>
      <x:c r="G48" s="14" t="n">
        <x:v>-48.68</x:v>
      </x:c>
      <x:c r="H48" s="14" t="str">
        <x:v>https://assets.marinha.mil.br/chm/sites/www.marinha.mil.br.chm/files/dados_de_mare/47%20-%20TERMINAL%20PORTU%C3%81RIO%20DA%20PONTA%20DO%20F%C3%89LIX%20151%20-%20153.pdf</x:v>
      </x:c>
      <x:c r="I48" s="14" t="str">
        <x:v>https://www.marinha.mil.br/chm/tabuas-de-mare-6</x:v>
      </x:c>
      <x:c r="J48" s="14" t="str">
        <x:v>https://www.google.com/maps?q=-25.46,-48.68</x:v>
      </x:c>
      <x:c r="K48" s="14" t="str"/>
    </x:row>
    <x:row r="49">
      <x:c r="A49" s="14" t="n">
        <x:v>48</x:v>
      </x:c>
      <x:c r="B49" s="14" t="str">
        <x:v>Paraná</x:v>
      </x:c>
      <x:c r="C49" s="14" t="str">
        <x:v>Porto</x:v>
      </x:c>
      <x:c r="D49" s="14" t="str">
        <x:v>PORTO DE PARANAGUÁ - CAIS OESTE</x:v>
      </x:c>
      <x:c r="E49" s="14" t="str">
        <x:v>154 - 156</x:v>
      </x:c>
      <x:c r="F49" s="14" t="n">
        <x:v>-25.5</x:v>
      </x:c>
      <x:c r="G49" s="14" t="n">
        <x:v>-48.53</x:v>
      </x:c>
      <x:c r="H49" s="14" t="str">
        <x:v>https://assets.marinha.mil.br/chm/sites/www.marinha.mil.br.chm/files/dados_de_mare/48%20-%20PORTO%20DE%20PARANAGU%C3%81%20-%20CAIS%20OESTE%20-%20154%20-%20156.pdf</x:v>
      </x:c>
      <x:c r="I49" s="14" t="str">
        <x:v>https://www.marinha.mil.br/chm/tabuas-de-mare-6</x:v>
      </x:c>
      <x:c r="J49" s="14" t="str">
        <x:v>https://www.google.com/maps?q=-25.5,-48.53</x:v>
      </x:c>
      <x:c r="K49" s="14" t="str"/>
    </x:row>
    <x:row r="50">
      <x:c r="A50" s="14" t="n">
        <x:v>49</x:v>
      </x:c>
      <x:c r="B50" s="14" t="str">
        <x:v>Paraná</x:v>
      </x:c>
      <x:c r="C50" s="14" t="str">
        <x:v>Barra</x:v>
      </x:c>
      <x:c r="D50" s="14" t="str">
        <x:v>BARRA DE PARANAGUÁ - CANAL SUESTE</x:v>
      </x:c>
      <x:c r="E50" s="14" t="str">
        <x:v>157 - 159</x:v>
      </x:c>
      <x:c r="F50" s="14" t="n">
        <x:v>-25.54</x:v>
      </x:c>
      <x:c r="G50" s="14" t="n">
        <x:v>-48.3</x:v>
      </x:c>
      <x:c r="H50" s="14" t="str">
        <x:v>https://assets.marinha.mil.br/chm/sites/www.marinha.mil.br.chm/files/dados_de_mare/49%20-%20BARRA%20DE%20PARANAGU%C3%81%20-%20CANAL%20SUESTE%20157%20-%20159.pdf</x:v>
      </x:c>
      <x:c r="I50" s="14" t="str">
        <x:v>https://www.marinha.mil.br/chm/tabuas-de-mare-6</x:v>
      </x:c>
      <x:c r="J50" s="14" t="str">
        <x:v>https://www.google.com/maps?q=-25.54,-48.3</x:v>
      </x:c>
      <x:c r="K50" s="14" t="str"/>
    </x:row>
    <x:row r="51">
      <x:c r="A51" s="14" t="n">
        <x:v>50</x:v>
      </x:c>
      <x:c r="B51" s="14" t="str">
        <x:v>Paraná</x:v>
      </x:c>
      <x:c r="C51" s="14" t="str">
        <x:v>Barra</x:v>
      </x:c>
      <x:c r="D51" s="14" t="str">
        <x:v>BARRA DE PARANAGUÁ - CANAL DA GALHETA</x:v>
      </x:c>
      <x:c r="E51" s="14" t="str">
        <x:v>160 - 162</x:v>
      </x:c>
      <x:c r="F51" s="14" t="n">
        <x:v>-25.57</x:v>
      </x:c>
      <x:c r="G51" s="14" t="n">
        <x:v>-48.32</x:v>
      </x:c>
      <x:c r="H51" s="14" t="str">
        <x:v>https://assets.marinha.mil.br/chm/sites/www.marinha.mil.br.chm/files/dados_de_mare/50%20-%20BARRA%20DE%20PARANAGU%C3%81%20-%20CANAL%20DA%20GALHETA%20160%20-162.pdf</x:v>
      </x:c>
      <x:c r="I51" s="14" t="str">
        <x:v>https://www.marinha.mil.br/chm/tabuas-de-mare-6</x:v>
      </x:c>
      <x:c r="J51" s="14" t="str">
        <x:v>https://www.google.com/maps?q=-25.57,-48.32</x:v>
      </x:c>
      <x:c r="K51" s="14" t="str"/>
    </x:row>
    <x:row r="52">
      <x:c r="A52" s="14" t="n">
        <x:v>51</x:v>
      </x:c>
      <x:c r="B52" s="14" t="str">
        <x:v>Santa Catarina</x:v>
      </x:c>
      <x:c r="C52" s="14" t="str">
        <x:v>Porto</x:v>
      </x:c>
      <x:c r="D52" s="14" t="str">
        <x:v>PORTO DE SÃO FRANCISCO DO SUL</x:v>
      </x:c>
      <x:c r="E52" s="14" t="str">
        <x:v>163 - 165</x:v>
      </x:c>
      <x:c r="F52" s="14" t="n">
        <x:v>-26.25</x:v>
      </x:c>
      <x:c r="G52" s="14" t="n">
        <x:v>-48.64</x:v>
      </x:c>
      <x:c r="H52" s="14" t="str">
        <x:v>https://assets.marinha.mil.br/chm/sites/www.marinha.mil.br.chm/files/dados_de_mare/51%20-%20PORTO%20DE%20S%C3%83O%20FRANCISCO%20DO%20SUL%20-%20163%20-165.pdf</x:v>
      </x:c>
      <x:c r="I52" s="14" t="str">
        <x:v>https://www.marinha.mil.br/chm/tabuas-de-mare-6?page=1</x:v>
      </x:c>
      <x:c r="J52" s="14" t="str">
        <x:v>https://www.google.com/maps?q=-26.25,-48.64</x:v>
      </x:c>
      <x:c r="K52" s="14" t="str"/>
    </x:row>
    <x:row r="53">
      <x:c r="A53" s="14" t="n">
        <x:v>52</x:v>
      </x:c>
      <x:c r="B53" s="14" t="str">
        <x:v>Santa Catarina</x:v>
      </x:c>
      <x:c r="C53" s="14" t="str">
        <x:v>Porto</x:v>
      </x:c>
      <x:c r="D53" s="14" t="str">
        <x:v>PORTO DE ITAJAÍ</x:v>
      </x:c>
      <x:c r="E53" s="14" t="str">
        <x:v>166 - 168</x:v>
      </x:c>
      <x:c r="F53" s="14" t="n">
        <x:v>-26.91</x:v>
      </x:c>
      <x:c r="G53" s="14" t="n">
        <x:v>-48.65</x:v>
      </x:c>
      <x:c r="H53" s="14" t="str">
        <x:v>https://assets.marinha.mil.br/chm/sites/www.marinha.mil.br.chm/files/dados_de_mare/52%20-%20PORTO%20DE%20ITAJA%C3%8D%20-%20166%20-%20168.pdf</x:v>
      </x:c>
      <x:c r="I53" s="14" t="str">
        <x:v>https://www.marinha.mil.br/chm/tabuas-de-mare-6?page=1</x:v>
      </x:c>
      <x:c r="J53" s="14" t="str">
        <x:v>https://www.google.com/maps?q=-26.91,-48.65</x:v>
      </x:c>
      <x:c r="K53" s="14" t="str"/>
    </x:row>
    <x:row r="54">
      <x:c r="A54" s="14" t="n">
        <x:v>53</x:v>
      </x:c>
      <x:c r="B54" s="14" t="str">
        <x:v>Santa Catarina</x:v>
      </x:c>
      <x:c r="C54" s="14" t="str">
        <x:v>Porto</x:v>
      </x:c>
      <x:c r="D54" s="14" t="str">
        <x:v>PORTO DE FLORIANÓPOLIS</x:v>
      </x:c>
      <x:c r="E54" s="14" t="str">
        <x:v>169 - 171</x:v>
      </x:c>
      <x:c r="F54" s="14" t="n">
        <x:v>-27.59</x:v>
      </x:c>
      <x:c r="G54" s="14" t="n">
        <x:v>-48.56</x:v>
      </x:c>
      <x:c r="H54" s="14" t="str">
        <x:v>https://assets.marinha.mil.br/chm/sites/www.marinha.mil.br.chm/files/dados_de_mare/53%20-%20PORTO%20DE%20FLORIAN%C3%93POLIS%20-%20169%20-%20171.pdf</x:v>
      </x:c>
      <x:c r="I54" s="14" t="str">
        <x:v>https://www.marinha.mil.br/chm/tabuas-de-mare-6</x:v>
      </x:c>
      <x:c r="J54" s="14" t="str">
        <x:v>https://www.google.com/maps?q=-27.59,-48.56</x:v>
      </x:c>
      <x:c r="K54" s="14" t="str"/>
    </x:row>
    <x:row r="55">
      <x:c r="A55" s="14" t="n">
        <x:v>54</x:v>
      </x:c>
      <x:c r="B55" s="14" t="str">
        <x:v>Santa Catarina</x:v>
      </x:c>
      <x:c r="C55" s="14" t="str">
        <x:v>Porto</x:v>
      </x:c>
      <x:c r="D55" s="14" t="str">
        <x:v>PORTO DE IMBITUBA</x:v>
      </x:c>
      <x:c r="E55" s="14" t="str">
        <x:v>172 - 174</x:v>
      </x:c>
      <x:c r="F55" s="14" t="n">
        <x:v>-26.91</x:v>
      </x:c>
      <x:c r="G55" s="14" t="n">
        <x:v>-48.65</x:v>
      </x:c>
      <x:c r="H55" s="14" t="str">
        <x:v>https://assets.marinha.mil.br/chm/sites/www.marinha.mil.br.chm/files/dados_de_mare/54%20-%20PORTO%20DE%20IMBITUBA%20-%20172%20-%20174.pdf</x:v>
      </x:c>
      <x:c r="I55" s="14" t="str">
        <x:v>https://www.marinha.mil.br/chm/tabuas-de-mare-6</x:v>
      </x:c>
      <x:c r="J55" s="14" t="str">
        <x:v>https://www.google.com/maps?q=-26.91,-48.65</x:v>
      </x:c>
      <x:c r="K55" s="14" t="str">
        <x:v>Coordenada conforme listagem CHM; conferir no PDF antes de uso operacional.</x:v>
      </x:c>
    </x:row>
    <x:row r="56">
      <x:c r="A56" s="14" t="n">
        <x:v>55</x:v>
      </x:c>
      <x:c r="B56" s="14" t="str">
        <x:v>Rio Grande do Sul</x:v>
      </x:c>
      <x:c r="C56" s="14" t="str">
        <x:v>Porto</x:v>
      </x:c>
      <x:c r="D56" s="14" t="str">
        <x:v>PORTO DO RIO GRANDE</x:v>
      </x:c>
      <x:c r="E56" s="14" t="str">
        <x:v>175 - 177</x:v>
      </x:c>
      <x:c r="F56" s="14" t="n">
        <x:v>-32.14</x:v>
      </x:c>
      <x:c r="G56" s="14" t="n">
        <x:v>-52.1</x:v>
      </x:c>
      <x:c r="H56" s="14" t="str">
        <x:v>https://assets.marinha.mil.br/chm/sites/www.marinha.mil.br.chm/files/dados_de_mare/55%20-%20PORTO%20DO%20RIO%20GRANDE%20-%20175%20-177.pdf</x:v>
      </x:c>
      <x:c r="I56" s="14" t="str">
        <x:v>https://www.marinha.mil.br/chm/tabuas-de-mare-6</x:v>
      </x:c>
      <x:c r="J56" s="14" t="str">
        <x:v>https://www.google.com/maps?q=-32.14,-52.1</x:v>
      </x:c>
      <x:c r="K56" s="14" t="str"/>
    </x:row>
    <x:row r="57">
      <x:c r="A57" s="14" t="n">
        <x:v>56</x:v>
      </x:c>
      <x:c r="B57" s="14" t="str">
        <x:v>Antártica</x:v>
      </x:c>
      <x:c r="C57" s="14" t="str">
        <x:v>Fundeadouro</x:v>
      </x:c>
      <x:c r="D57" s="14" t="str">
        <x:v>FUNDEADOURO DA ESTAÇÃO ANTÁRTICA COMANDANTE FERRAZ</x:v>
      </x:c>
      <x:c r="E57" s="14" t="str">
        <x:v>178 - 180</x:v>
      </x:c>
      <x:c r="F57" s="14" t="n">
        <x:v>-62.09</x:v>
      </x:c>
      <x:c r="G57" s="14" t="n">
        <x:v>58.4</x:v>
      </x:c>
      <x:c r="H57" s="14" t="str">
        <x:v>https://assets.marinha.mil.br/chm/sites/www.marinha.mil.br.chm/files/dados_de_mare/56%20-%20FUNDEADOURO%20DA%20EST%20ANT%20COM%20FERRAZ%20-%20178%20-%20180.pdf</x:v>
      </x:c>
      <x:c r="I57" s="14" t="str">
        <x:v>https://www.marinha.mil.br/chm/tabuas-de-mare-6</x:v>
      </x:c>
      <x:c r="J57" s="14" t="str">
        <x:v>https://www.google.com/maps?q=-62.09,58.4</x:v>
      </x:c>
      <x:c r="K57" s="14" t="str">
        <x:v>Incluído na publicação CHM 2026, mas fora da costa brasileira.</x:v>
      </x:c>
    </x:row>
  </x:sheetData>
  <x:pageMargins left="0.7" right="0.7" top="0.75" bottom="0.75" header="0.3" footer="0.3"/>
  <x:tableParts count="1">
    <x:tablePart xmlns:r="http://schemas.openxmlformats.org/officeDocument/2006/relationships" r:id="R63bbec7bdef64c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56" hidden="0" customWidth="1"/>
  </x:cols>
  <x:sheetData>
    <x:row r="1">
      <x:c r="A1" s="20" t="str">
        <x:v>Índice oficial — Tábuas das Marés 2026 (CHM/Marinha)</x:v>
      </x:c>
    </x:row>
    <x:row r="3">
      <x:c r="A3" s="26" t="str">
        <x:v>Fonte principal</x:v>
      </x:c>
      <x:c r="B3" s="12" t="str">
        <x:v>https://www.marinha.mil.br/chm/dados-do-segnav-publicacoes/tabuas-das-mares</x:v>
      </x:c>
    </x:row>
    <x:row r="4">
      <x:c r="A4" s="26" t="str">
        <x:v>Listagem CHM 2026 — página 1</x:v>
      </x:c>
      <x:c r="B4" s="12" t="str">
        <x:v>https://www.marinha.mil.br/chm/tabuas-de-mare-6</x:v>
      </x:c>
    </x:row>
    <x:row r="5">
      <x:c r="A5" s="26" t="str">
        <x:v>Listagem CHM 2026 — página 2</x:v>
      </x:c>
      <x:c r="B5" s="12" t="str">
        <x:v>https://www.marinha.mil.br/chm/tabuas-de-mare-6?page=1</x:v>
      </x:c>
    </x:row>
    <x:row r="6">
      <x:c r="A6" s="26" t="str">
        <x:v>Ferramenta interativa CHM/PAM</x:v>
      </x:c>
      <x:c r="B6" s="12" t="str">
        <x:v>https://pam.dhn.mar.mil.br/tabuamares/tabuamares.html</x:v>
      </x:c>
    </x:row>
    <x:row r="7">
      <x:c r="A7" s="26" t="str">
        <x:v>Total de pontos catalogados</x:v>
      </x:c>
      <x:c r="B7" s="12" t="n">
        <x:f>COUNTA(Pontos_CHM_2026!$A$2:$A$57)</x:f>
        <x:v>56</x:v>
      </x:c>
    </x:row>
    <x:row r="8">
      <x:c r="A8" s="26" t="str">
        <x:v>Observação</x:v>
      </x:c>
      <x:c r="B8" s="12" t="str">
        <x:v>Os links de PDF seguem o padrão oficial de arquivos do CHM. Para uso operacional, conferir sempre a página oficial e o PDF baixado.</x:v>
      </x:c>
    </x:row>
    <x:row r="11">
      <x:c r="A11" s="6" t="str">
        <x:v>UF/Região</x:v>
      </x:c>
      <x:c r="B11" s="6" t="str">
        <x:v>Quantidade de pontos</x:v>
      </x:c>
      <x:c r="C11" s="6" t="str">
        <x:v>Observação</x:v>
      </x:c>
    </x:row>
    <x:row r="12">
      <x:c r="A12" s="12" t="str">
        <x:v>Alagoas</x:v>
      </x:c>
      <x:c r="B12" s="12" t="n">
        <x:f>COUNTIF(Pontos_CHM_2026!$B$2:$B$57,A12)</x:f>
        <x:v>1</x:v>
      </x:c>
      <x:c r="C12" s="12" t="str"/>
    </x:row>
    <x:row r="13">
      <x:c r="A13" s="12" t="str">
        <x:v>Amapá</x:v>
      </x:c>
      <x:c r="B13" s="12" t="n">
        <x:f>COUNTIF(Pontos_CHM_2026!$B$2:$B$57,A13)</x:f>
        <x:v>2</x:v>
      </x:c>
      <x:c r="C13" s="12" t="str"/>
    </x:row>
    <x:row r="14">
      <x:c r="A14" s="12" t="str">
        <x:v>Antártica</x:v>
      </x:c>
      <x:c r="B14" s="12" t="n">
        <x:f>COUNTIF(Pontos_CHM_2026!$B$2:$B$57,A14)</x:f>
        <x:v>1</x:v>
      </x:c>
      <x:c r="C14" s="12" t="str">
        <x:v>Incluída na publicação CHM; fora da costa brasileira.</x:v>
      </x:c>
    </x:row>
    <x:row r="15">
      <x:c r="A15" s="12" t="str">
        <x:v>Bahia</x:v>
      </x:c>
      <x:c r="B15" s="12" t="n">
        <x:f>COUNTIF(Pontos_CHM_2026!$B$2:$B$57,A15)</x:f>
        <x:v>4</x:v>
      </x:c>
      <x:c r="C15" s="12" t="str"/>
    </x:row>
    <x:row r="16">
      <x:c r="A16" s="12" t="str">
        <x:v>Ceará</x:v>
      </x:c>
      <x:c r="B16" s="12" t="n">
        <x:f>COUNTIF(Pontos_CHM_2026!$B$2:$B$57,A16)</x:f>
        <x:v>2</x:v>
      </x:c>
      <x:c r="C16" s="12" t="str"/>
    </x:row>
    <x:row r="17">
      <x:c r="A17" s="12" t="str">
        <x:v>Espírito Santo</x:v>
      </x:c>
      <x:c r="B17" s="12" t="n">
        <x:f>COUNTIF(Pontos_CHM_2026!$B$2:$B$57,A17)</x:f>
        <x:v>5</x:v>
      </x:c>
      <x:c r="C17" s="12" t="str"/>
    </x:row>
    <x:row r="18">
      <x:c r="A18" s="12" t="str">
        <x:v>Maranhão</x:v>
      </x:c>
      <x:c r="B18" s="12" t="n">
        <x:f>COUNTIF(Pontos_CHM_2026!$B$2:$B$57,A18)</x:f>
        <x:v>5</x:v>
      </x:c>
      <x:c r="C18" s="12" t="str"/>
    </x:row>
    <x:row r="19">
      <x:c r="A19" s="12" t="str">
        <x:v>Paraná</x:v>
      </x:c>
      <x:c r="B19" s="12" t="n">
        <x:f>COUNTIF(Pontos_CHM_2026!$B$2:$B$57,A19)</x:f>
        <x:v>4</x:v>
      </x:c>
      <x:c r="C19" s="12" t="str"/>
    </x:row>
    <x:row r="20">
      <x:c r="A20" s="12" t="str">
        <x:v>Paraíba</x:v>
      </x:c>
      <x:c r="B20" s="12" t="n">
        <x:f>COUNTIF(Pontos_CHM_2026!$B$2:$B$57,A20)</x:f>
        <x:v>1</x:v>
      </x:c>
      <x:c r="C20" s="12" t="str"/>
    </x:row>
    <x:row r="21">
      <x:c r="A21" s="12" t="str">
        <x:v>Pará</x:v>
      </x:c>
      <x:c r="B21" s="12" t="n">
        <x:f>COUNTIF(Pontos_CHM_2026!$B$2:$B$57,A21)</x:f>
        <x:v>7</x:v>
      </x:c>
      <x:c r="C21" s="12" t="str"/>
    </x:row>
    <x:row r="22">
      <x:c r="A22" s="12" t="str">
        <x:v>Pernambuco</x:v>
      </x:c>
      <x:c r="B22" s="12" t="n">
        <x:f>COUNTIF(Pontos_CHM_2026!$B$2:$B$57,A22)</x:f>
        <x:v>3</x:v>
      </x:c>
      <x:c r="C22" s="12" t="str"/>
    </x:row>
    <x:row r="23">
      <x:c r="A23" s="12" t="str">
        <x:v>Piauí</x:v>
      </x:c>
      <x:c r="B23" s="12" t="n">
        <x:f>COUNTIF(Pontos_CHM_2026!$B$2:$B$57,A23)</x:f>
        <x:v>1</x:v>
      </x:c>
      <x:c r="C23" s="12" t="str"/>
    </x:row>
    <x:row r="24">
      <x:c r="A24" s="12" t="str">
        <x:v>Rio Grande do Norte</x:v>
      </x:c>
      <x:c r="B24" s="12" t="n">
        <x:f>COUNTIF(Pontos_CHM_2026!$B$2:$B$57,A24)</x:f>
        <x:v>4</x:v>
      </x:c>
      <x:c r="C24" s="12" t="str"/>
    </x:row>
    <x:row r="25">
      <x:c r="A25" s="12" t="str">
        <x:v>Rio Grande do Sul</x:v>
      </x:c>
      <x:c r="B25" s="12" t="n">
        <x:f>COUNTIF(Pontos_CHM_2026!$B$2:$B$57,A25)</x:f>
        <x:v>1</x:v>
      </x:c>
      <x:c r="C25" s="12" t="str"/>
    </x:row>
    <x:row r="26">
      <x:c r="A26" s="12" t="str">
        <x:v>Rio de Janeiro</x:v>
      </x:c>
      <x:c r="B26" s="12" t="n">
        <x:f>COUNTIF(Pontos_CHM_2026!$B$2:$B$57,A26)</x:f>
        <x:v>7</x:v>
      </x:c>
      <x:c r="C26" s="12" t="str"/>
    </x:row>
    <x:row r="27">
      <x:c r="A27" s="12" t="str">
        <x:v>Santa Catarina</x:v>
      </x:c>
      <x:c r="B27" s="12" t="n">
        <x:f>COUNTIF(Pontos_CHM_2026!$B$2:$B$57,A27)</x:f>
        <x:v>4</x:v>
      </x:c>
      <x:c r="C27" s="12" t="str"/>
    </x:row>
    <x:row r="28">
      <x:c r="A28" s="12" t="str">
        <x:v>Sergipe</x:v>
      </x:c>
      <x:c r="B28" s="12" t="n">
        <x:f>COUNTIF(Pontos_CHM_2026!$B$2:$B$57,A28)</x:f>
        <x:v>2</x:v>
      </x:c>
      <x:c r="C28" s="12" t="str"/>
    </x:row>
    <x:row r="29">
      <x:c r="A29" s="12" t="str">
        <x:v>São Paulo</x:v>
      </x:c>
      <x:c r="B29" s="12" t="n">
        <x:f>COUNTIF(Pontos_CHM_2026!$B$2:$B$57,A29)</x:f>
        <x:v>2</x:v>
      </x:c>
      <x:c r="C29" s="12" t="str">
        <x:v>Para Itanhaém, usar Santos como referência aproximada e validar em campo.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7e7c81e1a18431b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6" hidden="0" customWidth="1"/>
    <x:col min="3" max="3" width="62" hidden="0" customWidth="1"/>
  </x:cols>
  <x:sheetData>
    <x:row r="1">
      <x:c r="A1" s="31" t="str">
        <x:v>Guia prático de uso — Ecosurf / ações de campo</x:v>
      </x:c>
    </x:row>
    <x:row r="3">
      <x:c r="A3" s="6" t="str">
        <x:v>Uso</x:v>
      </x:c>
      <x:c r="B3" s="6" t="str">
        <x:v>Como aplicar</x:v>
      </x:c>
      <x:c r="C3" s="6" t="str">
        <x:v>Cuidados</x:v>
      </x:c>
    </x:row>
    <x:row r="4">
      <x:c r="A4" s="12" t="str">
        <x:v>Planejamento de mutirões</x:v>
      </x:c>
      <x:c r="B4" s="12" t="str">
        <x:v>Verificar maré baixa e janela de acesso antes de ações em praia, rio, manguezal, costão ou bancos de areia.</x:v>
      </x:c>
      <x:c r="C4" s="12" t="str">
        <x:v>Não usar apenas a tabela distante; validar com observação local, Defesa Civil, navegação local e condições meteorológicas.</x:v>
      </x:c>
    </x:row>
    <x:row r="5">
      <x:c r="A5" s="12" t="str">
        <x:v>Itanhaém/SP</x:v>
      </x:c>
      <x:c r="B5" s="12" t="str">
        <x:v>Referência oficial mais próxima na publicação CHM: Porto de Santos; São Sebastião pode ser referência complementar para comparação regional.</x:v>
      </x:c>
      <x:c r="C5" s="12" t="str">
        <x:v>A tábua do porto não substitui leitura local na praia, barra, rio ou canal.</x:v>
      </x:c>
    </x:row>
    <x:row r="6">
      <x:c r="A6" s="12" t="str">
        <x:v>Operação em rios, barras e manguezais</x:v>
      </x:c>
      <x:c r="B6" s="12" t="str">
        <x:v>Usar a hora da baixa-mar/preamar para definir acesso, risco de encalhe, retorno, logística de retirada de resíduos e segurança da equipe.</x:v>
      </x:c>
      <x:c r="C6" s="12" t="str">
        <x:v>Evitar operações com ressaca, chuva intensa, vento forte, correnteza ou baixa visibilidade.</x:v>
      </x:c>
    </x:row>
    <x:row r="7">
      <x:c r="A7" s="12" t="str">
        <x:v>Comunicação com voluntários</x:v>
      </x:c>
      <x:c r="B7" s="12" t="str">
        <x:v>Informar horário de encontro, janela de maré, ponto de acesso, hidratação, EPIs e plano de saída.</x:v>
      </x:c>
      <x:c r="C7" s="12" t="str">
        <x:v>Não divulgar horário de campo sem checar atualização local no dia anterior e no próprio dia.</x:v>
      </x:c>
    </x:row>
    <x:row r="8">
      <x:c r="A8" s="12" t="str">
        <x:v>Registro técnico</x:v>
      </x:c>
      <x:c r="B8" s="12" t="str">
        <x:v>Registrar estação usada, data, hora, fase da maré e observação local no relatório da ação.</x:v>
      </x:c>
      <x:c r="C8" s="12" t="str">
        <x:v>Essa prática melhora rastreabilidade dos dados e reduz erro operacional.</x:v>
      </x:c>
    </x:row>
    <x:row r="9">
      <x:c r="A9" s="12"/>
      <x:c r="B9" s="12"/>
      <x:c r="C9" s="12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6" hidden="0" customWidth="1"/>
    <x:col min="3" max="3" width="72" hidden="0" customWidth="1"/>
  </x:cols>
  <x:sheetData>
    <x:row r="1">
      <x:c r="A1" s="6" t="str">
        <x:v>Fonte</x:v>
      </x:c>
      <x:c r="B1" s="6" t="str">
        <x:v>URL</x:v>
      </x:c>
      <x:c r="C1" s="6" t="str">
        <x:v>Uso na planilha</x:v>
      </x:c>
    </x:row>
    <x:row r="2">
      <x:c r="A2" s="12" t="str">
        <x:v>CHM — Tábuas das Marés 2026</x:v>
      </x:c>
      <x:c r="B2" s="12" t="str">
        <x:v>https://www.marinha.mil.br/chm/dados-do-segnav-publicacoes/tabuas-das-mares</x:v>
      </x:c>
      <x:c r="C2" s="12" t="str">
        <x:v>Fonte principal sobre a publicação 2026, abrangência e elaboração das previsões.</x:v>
      </x:c>
    </x:row>
    <x:row r="3">
      <x:c r="A3" s="12" t="str">
        <x:v>CHM — Listagem 2026 página 1</x:v>
      </x:c>
      <x:c r="B3" s="12" t="str">
        <x:v>https://www.marinha.mil.br/chm/tabuas-de-mare-6</x:v>
      </x:c>
      <x:c r="C3" s="12" t="str">
        <x:v>Pontos oficiais, estados, páginas e coordenadas.</x:v>
      </x:c>
    </x:row>
    <x:row r="4">
      <x:c r="A4" s="12" t="str">
        <x:v>CHM — Listagem 2026 página 2</x:v>
      </x:c>
      <x:c r="B4" s="12" t="str">
        <x:v>https://www.marinha.mil.br/chm/tabuas-de-mare-6?page=1</x:v>
      </x:c>
      <x:c r="C4" s="12" t="str">
        <x:v>Complemento da listagem, incluindo SP, SE e parte de SC.</x:v>
      </x:c>
    </x:row>
    <x:row r="5">
      <x:c r="A5" s="12" t="str">
        <x:v>CHM/PAM — ferramenta interativa</x:v>
      </x:c>
      <x:c r="B5" s="12" t="str">
        <x:v>https://pam.dhn.mar.mil.br/tabuamares/tabuamares.html</x:v>
      </x:c>
      <x:c r="C5" s="12" t="str">
        <x:v>Consulta por estação e data, com gráfico e opções de baixar PNG/JPG.</x:v>
      </x:c>
    </x:row>
    <x:row r="6">
      <x:c r="A6" s="12" t="str">
        <x:v>EMGEPRON — venda da publicação</x:v>
      </x:c>
      <x:c r="B6" s="12" t="str">
        <x:v>https://cartasnauticasbrasil.com.br/loja/publicacoes-de-aux-a-navegacao/tabuas-das-mares-2026/</x:v>
      </x:c>
      <x:c r="C6" s="12" t="str">
        <x:v>Aquisição da publicação completa impressa/digital, conforme disponibilidade do fornecedor.</x:v>
      </x:c>
    </x:row>
  </x:sheetData>
  <x:pageMargins left="0.7" right="0.7" top="0.75" bottom="0.75" header="0.3" footer="0.3"/>
</x:worksheet>
</file>